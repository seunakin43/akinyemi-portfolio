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euna\Downloads\"/>
    </mc:Choice>
  </mc:AlternateContent>
  <xr:revisionPtr revIDLastSave="0" documentId="8_{7524B1BB-CA83-431A-A73B-6B5D810CA8E9}" xr6:coauthVersionLast="47" xr6:coauthVersionMax="47" xr10:uidLastSave="{00000000-0000-0000-0000-000000000000}"/>
  <bookViews>
    <workbookView xWindow="-108" yWindow="-108" windowWidth="23256" windowHeight="12456" xr2:uid="{082C4D52-A0AB-443B-A1D8-BEB460D159D2}"/>
  </bookViews>
  <sheets>
    <sheet name="Mid-Year Review" sheetId="1" r:id="rId1"/>
    <sheet name="OKRs" sheetId="4" state="hidden" r:id="rId2"/>
    <sheet name="Staff list" sheetId="5" state="hidden" r:id="rId3"/>
    <sheet name="Sheet2" sheetId="2" state="hidden" r:id="rId4"/>
    <sheet name="Sheet3" sheetId="3" state="hidden" r:id="rId5"/>
  </sheets>
  <externalReferences>
    <externalReference r:id="rId6"/>
    <externalReference r:id="rId7"/>
    <externalReference r:id="rId8"/>
  </externalReferences>
  <definedNames>
    <definedName name="_xlnm._FilterDatabase" localSheetId="0" hidden="1">'Mid-Year Review'!$A$18:$F$55</definedName>
    <definedName name="_xlnm._FilterDatabase" localSheetId="3" hidden="1">[1]Sheet1!$A$1:$L$1059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61" i="4" l="1"/>
  <c r="L1062" i="4"/>
  <c r="L1063" i="4"/>
  <c r="L1064" i="4"/>
  <c r="L1065" i="4"/>
  <c r="L1066" i="4"/>
  <c r="L1067" i="4"/>
  <c r="L1068" i="4"/>
  <c r="L1069" i="4"/>
  <c r="L1070" i="4"/>
  <c r="L1071" i="4"/>
  <c r="L1072" i="4"/>
  <c r="L1073" i="4"/>
  <c r="L1060" i="4"/>
  <c r="C58" i="1" l="1"/>
  <c r="C59" i="1"/>
  <c r="B6" i="1"/>
  <c r="B9" i="1"/>
  <c r="B8" i="1"/>
  <c r="B7" i="1"/>
  <c r="C19" i="1" a="1"/>
  <c r="C19" i="1" s="1"/>
  <c r="B19" i="1" a="1"/>
  <c r="B19" i="1" s="1"/>
  <c r="A19" i="1" a="1"/>
  <c r="A19" i="1" s="1"/>
  <c r="F54" i="1" l="1"/>
  <c r="F34" i="1" l="1"/>
  <c r="F42" i="1"/>
  <c r="F50" i="1"/>
  <c r="F35" i="1"/>
  <c r="F43" i="1"/>
  <c r="F51" i="1"/>
  <c r="F36" i="1"/>
  <c r="F44" i="1"/>
  <c r="F52" i="1"/>
  <c r="F37" i="1"/>
  <c r="F45" i="1"/>
  <c r="F53" i="1"/>
  <c r="F38" i="1"/>
  <c r="F46" i="1"/>
  <c r="F39" i="1"/>
  <c r="F47" i="1"/>
  <c r="F41" i="1"/>
  <c r="F49" i="1"/>
  <c r="F48" i="1"/>
  <c r="F40" i="1"/>
  <c r="F20" i="1"/>
  <c r="F28" i="1"/>
  <c r="F21" i="1"/>
  <c r="F29" i="1"/>
  <c r="F22" i="1"/>
  <c r="F30" i="1"/>
  <c r="F23" i="1"/>
  <c r="F31" i="1"/>
  <c r="F33" i="1"/>
  <c r="F24" i="1"/>
  <c r="F32" i="1"/>
  <c r="F25" i="1"/>
  <c r="F26" i="1"/>
  <c r="F27" i="1"/>
  <c r="F19" i="1"/>
  <c r="C55" i="1" l="1"/>
  <c r="F55" i="1"/>
  <c r="B11" i="1" s="1"/>
  <c r="B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<sst xmlns="http://schemas.openxmlformats.org/spreadsheetml/2006/main" count="8367" uniqueCount="1083">
  <si>
    <t>2025 Mid-Year Review</t>
  </si>
  <si>
    <t>Department</t>
  </si>
  <si>
    <t>Name</t>
  </si>
  <si>
    <t>Unit</t>
  </si>
  <si>
    <t>Role</t>
  </si>
  <si>
    <t>Staff ID</t>
  </si>
  <si>
    <t>EMPLOYEE INFORMATION</t>
  </si>
  <si>
    <t>PAT POLICY INFORMATION</t>
  </si>
  <si>
    <t>OBEJECTIVE, KEY RESULT (OKR)</t>
  </si>
  <si>
    <t>KEY RESULT AREA (KRA)</t>
  </si>
  <si>
    <t>WEIGHT</t>
  </si>
  <si>
    <t>MANAGER RATING</t>
  </si>
  <si>
    <t>SCORE</t>
  </si>
  <si>
    <t>MANAGER'S COMMENT</t>
  </si>
  <si>
    <t>EMPLOYEE'S COMMENT</t>
  </si>
  <si>
    <t>EMPLOYEE SELF RATING</t>
  </si>
  <si>
    <t>PAT00027</t>
  </si>
  <si>
    <t>Total</t>
  </si>
  <si>
    <t>RATING SCALE</t>
  </si>
  <si>
    <t>FINAL MID-YEAR/APPRAISAL SCORE IS SUBJECT TO MANAGEMENT REVIEW</t>
  </si>
  <si>
    <t>UNACCEPTABLE</t>
  </si>
  <si>
    <t>NEEDS IMPROVEMENT</t>
  </si>
  <si>
    <t>MEETS EXPECTATION</t>
  </si>
  <si>
    <t>EXCEEDS EXPECTATION</t>
  </si>
  <si>
    <t>MID-YEAR REVIEW SCORE</t>
  </si>
  <si>
    <t>MID-YEAR REVIEW RATING</t>
  </si>
  <si>
    <t>PAT00020</t>
  </si>
  <si>
    <t>S/N</t>
  </si>
  <si>
    <t>STAFF ID</t>
  </si>
  <si>
    <t xml:space="preserve">STAFF </t>
  </si>
  <si>
    <t>ROLE</t>
  </si>
  <si>
    <t>OKRs/KPIs</t>
  </si>
  <si>
    <t>OKRs 2</t>
  </si>
  <si>
    <t>WEIGHT BROKENDOWN</t>
  </si>
  <si>
    <t>TARGET</t>
  </si>
  <si>
    <t>KEY RESULT AREA</t>
  </si>
  <si>
    <t>COMPANY RESULT</t>
  </si>
  <si>
    <t>LINE MANAGER</t>
  </si>
  <si>
    <t>PAT00097</t>
  </si>
  <si>
    <t>ADEJUMOKE AJALA</t>
  </si>
  <si>
    <t>Key Accounts Executive</t>
  </si>
  <si>
    <t xml:space="preserve">Reach commercial objectives </t>
  </si>
  <si>
    <t>Onboard 80 new BTS sites by Q4 2025, ensuring full operational readiness.</t>
  </si>
  <si>
    <t>Onboard 150 new colo sites by Q4 2025, securing tenant commitments before launch.</t>
  </si>
  <si>
    <t>Increase revenue and strengthen commercial agreementsthrough contract renegotiation</t>
  </si>
  <si>
    <t>Nego</t>
  </si>
  <si>
    <t>Negotiate improved Airtel contract terms beyond the 2024 agreements by Q4 2025.</t>
  </si>
  <si>
    <t>Complete a full site audit by Q3 2025 to:</t>
  </si>
  <si>
    <t>Iden</t>
  </si>
  <si>
    <t>Identify customer equipment across all sites.</t>
  </si>
  <si>
    <t>Ensure full billing for underbilled sites.</t>
  </si>
  <si>
    <t>Enhance Billing Accuracy and Revenue Assurance</t>
  </si>
  <si>
    <t>Achieve 100% accuracy in invoice submissions by Q4 2025, including:</t>
  </si>
  <si>
    <t>Full and optimal billing for excess power in favor of PAT.</t>
  </si>
  <si>
    <t>Complete reconciliation of invoices for 100% of sites.</t>
  </si>
  <si>
    <t xml:space="preserve">Ensure high satisfaction from customers </t>
  </si>
  <si>
    <t>Achieve 85% customer satisfaction score through surveys and interviews by Q4 2025.</t>
  </si>
  <si>
    <t>Conduct quarterly customer feedback sessions to identify areas for service improvement.</t>
  </si>
  <si>
    <t>Enhance Commercial Team Performance, Career Growth, and Retention</t>
  </si>
  <si>
    <t>Ensure all commercial staff have OKRs set and aligned with business goals by the end of April 2025.</t>
  </si>
  <si>
    <t>Collaborate with HR to define a clear career roadmap for all non-field commercial positions and ensure 100% adoption within the team by Q3 2025.</t>
  </si>
  <si>
    <t>Impl</t>
  </si>
  <si>
    <t>Implement strategies to retain top commercial talent, ensuring attrition of senior personnel does not exceed 5%.</t>
  </si>
  <si>
    <t>Ensure Seamless Commercial Integration and Business Continuity Post-ENL Acquisition</t>
  </si>
  <si>
    <t>Ensure a smooth transition of commercial contracts and agreements post-ENL acquisition, with 100% contract review and alignment completed by Q3 2025.</t>
  </si>
  <si>
    <t>Work closely with Finance and Operations to consolidate and optimize ENL’s customer accounts, ensuring zero revenue leakage and streamlined billing processes.</t>
  </si>
  <si>
    <t>Provide commercial input for ENL’s financial and operational integration plan, ensuring alignment with PAT’s revenue and growth targets.</t>
  </si>
  <si>
    <t>oversight</t>
  </si>
  <si>
    <t>Ensure commercial oversight in ENL’s business continuity strategy, mitigating customer churn and maintaining service quality during the transition.</t>
  </si>
  <si>
    <t>PAT00052</t>
  </si>
  <si>
    <t>CAROLINE GBADAMOSI</t>
  </si>
  <si>
    <t>Key Accounts Manager</t>
  </si>
  <si>
    <t>Successfully conclude MTN contract renegotiation by Q2 2025, ensuring improved financial and operational terms.</t>
  </si>
  <si>
    <t>Ensure OKRs is set and aligned with business goals by the end of April 2025.</t>
  </si>
  <si>
    <t>Collaborate with HR to define a clear career roadmap for individual growth by Q3 2025.</t>
  </si>
  <si>
    <t>PAT00029</t>
  </si>
  <si>
    <t>ABOLAJI ANIMASHAUN</t>
  </si>
  <si>
    <t>PAT00022</t>
  </si>
  <si>
    <t>ABIMBOLA FALOPE</t>
  </si>
  <si>
    <t>Director Commercial</t>
  </si>
  <si>
    <t>PAT00003</t>
  </si>
  <si>
    <t xml:space="preserve">OMONIYI AKINOLA </t>
  </si>
  <si>
    <t>Senior Key Accounts Manager</t>
  </si>
  <si>
    <t>Collalaborate with HR to define a clear career roadmap for individual growth by Q3 2025.</t>
  </si>
  <si>
    <t>Implement strategies to retain top commercial talent, ensuring attrition of junior personnel does not exceed 5%.</t>
  </si>
  <si>
    <t>NWABUKO KALU</t>
  </si>
  <si>
    <t>Radio Frequency Specialist</t>
  </si>
  <si>
    <t>PAT00164</t>
  </si>
  <si>
    <t>AJIBOLA OGUNBADEWA</t>
  </si>
  <si>
    <t>Key Accounts &amp; RF Strategy Lead</t>
  </si>
  <si>
    <t>PAT00030</t>
  </si>
  <si>
    <t>JESUDARE KASEEM</t>
  </si>
  <si>
    <t>HRBP</t>
  </si>
  <si>
    <t>Ensure high-priority roles are staffed with best-fit candidates</t>
  </si>
  <si>
    <t>Maintain a minimum 90% retention rate for high-priority roles within the first year.</t>
  </si>
  <si>
    <t>Achieve maximum time to hire of 2 months on senior positions</t>
  </si>
  <si>
    <t>Ensure ongoing improvement and continuous upskilling of workforce</t>
  </si>
  <si>
    <t>Ensure 85% of employees complete at least 4 training programs per year.</t>
  </si>
  <si>
    <t xml:space="preserve">Achieve 80% self reported upskilling post trainings </t>
  </si>
  <si>
    <t>Ensure PAT is the employer of choice for existing and future employees</t>
  </si>
  <si>
    <t>Improve employee engagement scores by at least 15% annually.</t>
  </si>
  <si>
    <t>Achieve at least 80% positive responses in the bi-annual employee satisfaction survey.</t>
  </si>
  <si>
    <t>Reduce voluntary attrition rate to below 10%.</t>
  </si>
  <si>
    <t>Enhance the management and accuracy of employee records and candidate interview data</t>
  </si>
  <si>
    <t>Achieve 100% accuracy in employee records by the end of Q3</t>
  </si>
  <si>
    <t>Ensure 90% of the interview feedback forms are completed within 48hrs for each interview</t>
  </si>
  <si>
    <t>Ensure 90% of field related disclinary matters are completed within procedural timelines</t>
  </si>
  <si>
    <t>Ensure closure of fieled exit procedures within 48hrs of exit notification</t>
  </si>
  <si>
    <t>PAT00036</t>
  </si>
  <si>
    <t>KEHINDE ODUWOLE</t>
  </si>
  <si>
    <t xml:space="preserve">Create a learning path to all non field staff to enable upskilling in their respective areas of expertise </t>
  </si>
  <si>
    <t>Ensure 85% of your assigned employees complete at least 4 training programs per year.</t>
  </si>
  <si>
    <t>Ensure 100% of employee health related escalations are resolved withing 48hrs</t>
  </si>
  <si>
    <t>Ensure 90% of non-field related disclinary matters are completed within procedural timelines</t>
  </si>
  <si>
    <t>Ensure clear performance and career expectations for all staff</t>
  </si>
  <si>
    <t>Achieve 100% compliance with performance management cycles (Ensure 90% of staff complete bi-annual 360-Degree feedback).</t>
  </si>
  <si>
    <t>PAT00172</t>
  </si>
  <si>
    <t>ANYEBE ANEBI</t>
  </si>
  <si>
    <t xml:space="preserve">Head Compensation &amp; Benefits </t>
  </si>
  <si>
    <t>Ensure attrition levels do not exceed 20% for senior personnel</t>
  </si>
  <si>
    <t>Ensure 2026 OKRs are in place for all staff by end of Q4. Bottom up sign off by the board in line with the budget.</t>
  </si>
  <si>
    <t xml:space="preserve">Ensure OKRs are in place for all staff by end of May 2025 </t>
  </si>
  <si>
    <t>Achieve 100% compliance with performance management cycles (mid-year review, Appraisals, 360-Degree feedback)</t>
  </si>
  <si>
    <t>Prepare and implement training courses and exams based on company's key policies by end of Q3 2025</t>
  </si>
  <si>
    <t>Conduct a training needs analysis annually to inform learning &amp; development plans.</t>
  </si>
  <si>
    <t>Launch a culture adoption drive and ensure 80% of staff can identify and understand how to display PAT culture</t>
  </si>
  <si>
    <t>Ensure smooth integration of PAT and ENL teams</t>
  </si>
  <si>
    <t>Complete ENL  post merger integration plan with plan to execute following PAT acquires 100% of ENL</t>
  </si>
  <si>
    <t>CHISOM NDUKWE</t>
  </si>
  <si>
    <t>Director, Human Resources &amp; Admin</t>
  </si>
  <si>
    <t>Ensure employee costs do not exceed budget and are in line with company objectives</t>
  </si>
  <si>
    <t xml:space="preserve">Ensure employee total costs to company does not exceed budgeted amount  (NGN3,697,446,380) and any increamental cost approved by the board </t>
  </si>
  <si>
    <t>Improve diversity ratios in PAT</t>
  </si>
  <si>
    <t xml:space="preserve">Create a career roadmap for 100% of all non field  positions </t>
  </si>
  <si>
    <t xml:space="preserve">Target to place bottom ranking staff (i.e. employees with lower than 80% annual rating) on a performance improvement plan </t>
  </si>
  <si>
    <t>Take control of ENL supervision across all HR processes</t>
  </si>
  <si>
    <t>Achieve 90% participation in cultural integration programs within six months.</t>
  </si>
  <si>
    <t>Address 100% of reported integration challenges within 30 days.</t>
  </si>
  <si>
    <t>Ensure at least 85% of employees report a positive integration experience in post-merger feedback</t>
  </si>
  <si>
    <t>PAT00028</t>
  </si>
  <si>
    <t>NNEAMAKA DIKE</t>
  </si>
  <si>
    <t>Head HR Business Partnering</t>
  </si>
  <si>
    <t>PAT00048</t>
  </si>
  <si>
    <t>PAUL OBE</t>
  </si>
  <si>
    <t>IT Team lead</t>
  </si>
  <si>
    <t xml:space="preserve">Implement best in class IT tools </t>
  </si>
  <si>
    <t>Imp</t>
  </si>
  <si>
    <t>Implement ERP</t>
  </si>
  <si>
    <t>Implement HR system</t>
  </si>
  <si>
    <t>Ensure provision of effective IT operation support that enables the business to achieve overall corporate objectives</t>
  </si>
  <si>
    <t>Maintain 97.5% IT system uptime for critical business applications.</t>
  </si>
  <si>
    <t>&lt;30%</t>
  </si>
  <si>
    <t>Reduce IT support ticket resolution time by 30% through improved processes and automation.</t>
  </si>
  <si>
    <t>Implement a self-service IT helpdesk to resolve at least 50% of IT requests without manual intervention.</t>
  </si>
  <si>
    <t>Ensure 90% of IT projects are delivered on time and within budget, following best practice frameworks.</t>
  </si>
  <si>
    <t>&gt;85%</t>
  </si>
  <si>
    <t>Achieve 85%+ employee satisfaction on IT support services in the bi-annual employee satisfaction survey.</t>
  </si>
  <si>
    <t>Ensure PAT processes are automated</t>
  </si>
  <si>
    <t xml:space="preserve">Identify and automate at least 5 key manual processes across HR, Finance, and Operations saving X hours </t>
  </si>
  <si>
    <t>Reduce process turnaround time by 40% through automation.</t>
  </si>
  <si>
    <t>Implement an integrated workflow system to track and manage automated processes.</t>
  </si>
  <si>
    <t xml:space="preserve">Identify and start piloting 1 AI use cases </t>
  </si>
  <si>
    <t>Implement a unified IT infrastructure for PAT and ENL within 6 months.</t>
  </si>
  <si>
    <t>Standardize IT policies and systems across both organizations, achieving 100% alignment.</t>
  </si>
  <si>
    <t>Ensure a seamless transition with zero critical system downtime during the integration.</t>
  </si>
  <si>
    <t>Ensure IT systems, processes, and initiatives are structured and implemented in line with best practices</t>
  </si>
  <si>
    <t>Achieve 100% compliance with industry security and data protection standards (e.g., ISO 27001, GDPR).</t>
  </si>
  <si>
    <t>Conduct two IT audits per year to assess compliance and process efficiency.</t>
  </si>
  <si>
    <t>PAT00008</t>
  </si>
  <si>
    <t>OLUWATONI OLURANTIMI</t>
  </si>
  <si>
    <t>IT Support Specialist</t>
  </si>
  <si>
    <t>Train 100% of relevant employees on new automated tools and workflows.</t>
  </si>
  <si>
    <t>Conduct at least 3 joint IT training and onboarding sessions for ENL employees.</t>
  </si>
  <si>
    <t>48hrs</t>
  </si>
  <si>
    <t>Ensure employee worktools are prepared and assigned within 48hrs</t>
  </si>
  <si>
    <t xml:space="preserve">Implement cybersecurity trainings and achieve 95% response rate for cyber tests (i.e., phising) </t>
  </si>
  <si>
    <t>PAT00155</t>
  </si>
  <si>
    <t>ABAYOMI ONITIJU</t>
  </si>
  <si>
    <t>Chief Information Officer</t>
  </si>
  <si>
    <t>Enhance IT Team Performance, Career Growth, and Retention</t>
  </si>
  <si>
    <t>Ens</t>
  </si>
  <si>
    <t>Ensure all IT staff have OKRs set and aligned with business goals by the end of April 2025.</t>
  </si>
  <si>
    <t>Collaborate with HR to define a clear career roadmap for all  IT positions and ensure 100% adoption within the team by Q3 2025.</t>
  </si>
  <si>
    <t>Implement strategies to retain top IT talent, ensuring attrition of senior personnel does not exceed 5%.</t>
  </si>
  <si>
    <t>Implement and document at least 3 new IT governance policies aligned with best practices.</t>
  </si>
  <si>
    <t>PAT00049</t>
  </si>
  <si>
    <t>ADEKUNLE AKINLALU</t>
  </si>
  <si>
    <t>Site Acquisition Coordinator</t>
  </si>
  <si>
    <t>Ensure site lock-outs/downtime arising from litigation, SAQ disputes, and regulatory issues are resolved within set timelines</t>
  </si>
  <si>
    <t>100% resolution of site lock-outs within the agreed SLA period.</t>
  </si>
  <si>
    <t>Ensure site leases and renewals maintain a maximum average of N950,000 per annum per site</t>
  </si>
  <si>
    <t>Ensure prompt site acquisition to aid roll-out</t>
  </si>
  <si>
    <t>90% of site acquisitions completed within the set project timelines (2 weeks).</t>
  </si>
  <si>
    <t>&lt;20%</t>
  </si>
  <si>
    <t>Reduction in acquisition delays by 20% compared to the previous quarter.</t>
  </si>
  <si>
    <t>imple</t>
  </si>
  <si>
    <t>Implement a standardized acquisition workflow to reduce bottlenecks.</t>
  </si>
  <si>
    <t>Resolve all outstanding regulatory approvals backlog and ensure all permits are applied for at the time of new site build</t>
  </si>
  <si>
    <t>Ensure 100% of new site builds have all required permits before commencement.</t>
  </si>
  <si>
    <t>Reduce permit application processing time by 20% through process optimization.</t>
  </si>
  <si>
    <t>PAT00019</t>
  </si>
  <si>
    <t>CHIKA KALU</t>
  </si>
  <si>
    <t>PAT00010</t>
  </si>
  <si>
    <t>BABATUNDE OLANIYAN</t>
  </si>
  <si>
    <t>Director of  Legal</t>
  </si>
  <si>
    <t>Reduction in downtime caused by regulatory or legal disputes by at least 30%.</t>
  </si>
  <si>
    <t>Establish</t>
  </si>
  <si>
    <t>Establish a legal risk monitoring system with early warning indicators.</t>
  </si>
  <si>
    <t>Negotiate legal terms and document PAT contracts in a manner that protects the interest of PAT and minimizes legal and regulatory risks</t>
  </si>
  <si>
    <t>100% of new contracts reviewed and approved within the designated timeline.</t>
  </si>
  <si>
    <t>Zero high-risk clauses in newly negotiated contracts.</t>
  </si>
  <si>
    <t>95% compliance with agreed contract terms by vendors/customers.</t>
  </si>
  <si>
    <t>quart</t>
  </si>
  <si>
    <t>Conduct quarterly contract risk assessments and mitigation reports.</t>
  </si>
  <si>
    <t>Provide contract administration support to all functions to ensure PAT extracts full benefits from contracts with vendors or customers and manage the imposition of penalties where applicable</t>
  </si>
  <si>
    <t>≤48 hours</t>
  </si>
  <si>
    <t>Response time to contract support requests maintained at ≤48 hours.</t>
  </si>
  <si>
    <t>100% tracking of contract deliverables to ensure compliance.</t>
  </si>
  <si>
    <t>Full enforcement of penalties on non-compliant vendors/customers.</t>
  </si>
  <si>
    <t>Quarterly training sessions on contract administration for relevant teams.</t>
  </si>
  <si>
    <t>100% compliance with legal and regulatory requirements for acquisitions.</t>
  </si>
  <si>
    <t>Ensure portfolio-level lease cost does not exceed budgeted value</t>
  </si>
  <si>
    <t>&lt;10%</t>
  </si>
  <si>
    <t>Renegotiate at least 10% of high-cost leases for cost reduction annually.</t>
  </si>
  <si>
    <t>&lt;5%</t>
  </si>
  <si>
    <t>Achieve at least a 5% reduction in overall lease costs year-over-year.</t>
  </si>
  <si>
    <t>Implement a lease cost benchmarking system to track efficiency.</t>
  </si>
  <si>
    <t>100% clearance of outstanding regulatory approvals backlog by Q4 2025</t>
  </si>
  <si>
    <t>estab</t>
  </si>
  <si>
    <t>Establish a regulatory tracking system for real-time monitoring of approvals.</t>
  </si>
  <si>
    <t>Provide legal support to Extended Networks Limited in line with DOA</t>
  </si>
  <si>
    <t>100% of legal requests from Extended Networks Limited responded to within agreed SLA.</t>
  </si>
  <si>
    <t>ensur</t>
  </si>
  <si>
    <t>Ensure all legal documents and agreements align with the Delegation of Authority (DOA) policy.</t>
  </si>
  <si>
    <t>condu bi-annual</t>
  </si>
  <si>
    <t>Conduct at least two compliance audits per year for Extended Networks Limited.</t>
  </si>
  <si>
    <t>Provide quarterly legal risk assessment reports to Extended Networks Limited leadership.</t>
  </si>
  <si>
    <t>Enhance Legal Team Performance, Career Growth, and Retention</t>
  </si>
  <si>
    <t>Ensure all Legal and SAQ staff have OKRs set and aligned with business goals by the end of April 2025.</t>
  </si>
  <si>
    <t>Collaborate with HR to define a clear career roadmap for all  Legal and SAQ positions and ensure 100% adoption within the team by Q3 2025.</t>
  </si>
  <si>
    <t>Implement strategies to retain top Legal/SAQ talent, ensuring attrition of senior personnel does not exceed 5%.</t>
  </si>
  <si>
    <t>PAT00157</t>
  </si>
  <si>
    <t>OLOLADE FAFOWORA</t>
  </si>
  <si>
    <t>Legal Services Manager</t>
  </si>
  <si>
    <t>PAT00021</t>
  </si>
  <si>
    <t>OLANREWAJU FAMAKINWA</t>
  </si>
  <si>
    <t>Head, Procurement</t>
  </si>
  <si>
    <t>Achieve Cost Efficiency and Spend Optimization</t>
  </si>
  <si>
    <r>
      <t>Achieve at least 5-10</t>
    </r>
    <r>
      <rPr>
        <b/>
        <sz val="11"/>
        <color theme="1"/>
        <rFont val="Aptos Narrow"/>
        <family val="2"/>
        <scheme val="minor"/>
      </rPr>
      <t>% cost savings/cost avoidance</t>
    </r>
    <r>
      <rPr>
        <sz val="11"/>
        <color theme="1"/>
        <rFont val="Aptos Narrow"/>
        <family val="2"/>
        <scheme val="minor"/>
      </rPr>
      <t xml:space="preserve"> on total procurement spend through negotiation, supplier consolidation, and strategic sourcing.</t>
    </r>
  </si>
  <si>
    <t>100% Strict Budget adherance based on Mgt approval and cash flow plan with finance team</t>
  </si>
  <si>
    <t>90-95% cost efficiency, supply reliability, and operational effectiveness in diesel procurement</t>
  </si>
  <si>
    <t>Ensure Supplier Performance and Risk Management</t>
  </si>
  <si>
    <r>
      <t xml:space="preserve">Maintain a </t>
    </r>
    <r>
      <rPr>
        <b/>
        <sz val="11"/>
        <color theme="1"/>
        <rFont val="Aptos Narrow"/>
        <family val="2"/>
        <scheme val="minor"/>
      </rPr>
      <t>90-95% on-time delivery rate</t>
    </r>
    <r>
      <rPr>
        <sz val="11"/>
        <color theme="1"/>
        <rFont val="Aptos Narrow"/>
        <family val="2"/>
        <scheme val="minor"/>
      </rPr>
      <t xml:space="preserve"> from key suppliers.</t>
    </r>
  </si>
  <si>
    <t>Stakeholder Satisfaction at 85-90% satisfaction rate from internal stakeholders for all projects based on user team requirement/speed of need.</t>
  </si>
  <si>
    <t>100% Contract availability on long terms services and major purchase on PAT Projects.</t>
  </si>
  <si>
    <t>Strengthen Procurement Processes and Compliance</t>
  </si>
  <si>
    <r>
      <t xml:space="preserve">Achieve </t>
    </r>
    <r>
      <rPr>
        <b/>
        <sz val="11"/>
        <color theme="1"/>
        <rFont val="Aptos Narrow"/>
        <family val="2"/>
        <scheme val="minor"/>
      </rPr>
      <t>100% compliance</t>
    </r>
    <r>
      <rPr>
        <sz val="11"/>
        <color theme="1"/>
        <rFont val="Aptos Narrow"/>
        <family val="2"/>
        <scheme val="minor"/>
      </rPr>
      <t xml:space="preserve"> with internal procurement policies and audit requirements.</t>
    </r>
  </si>
  <si>
    <r>
      <t>Reduce procurement cycle time from requisition to PO issuance by 10-</t>
    </r>
    <r>
      <rPr>
        <b/>
        <sz val="11"/>
        <color theme="1"/>
        <rFont val="Aptos Narrow"/>
        <family val="2"/>
        <scheme val="minor"/>
      </rPr>
      <t>20%</t>
    </r>
    <r>
      <rPr>
        <sz val="11"/>
        <color theme="1"/>
        <rFont val="Aptos Narrow"/>
        <family val="2"/>
        <scheme val="minor"/>
      </rPr>
      <t>.</t>
    </r>
  </si>
  <si>
    <r>
      <t xml:space="preserve">Digitize </t>
    </r>
    <r>
      <rPr>
        <b/>
        <sz val="11"/>
        <color theme="1"/>
        <rFont val="Aptos Narrow"/>
        <family val="2"/>
        <scheme val="minor"/>
      </rPr>
      <t>100% of procurement transactions</t>
    </r>
    <r>
      <rPr>
        <sz val="11"/>
        <color theme="1"/>
        <rFont val="Aptos Narrow"/>
        <family val="2"/>
        <scheme val="minor"/>
      </rPr>
      <t xml:space="preserve"> using the company’s ERP or procurement system.</t>
    </r>
  </si>
  <si>
    <t>Build Strategic Supplier Relationships</t>
  </si>
  <si>
    <r>
      <t xml:space="preserve">Develop strategic partnerships with at least </t>
    </r>
    <r>
      <rPr>
        <b/>
        <sz val="11"/>
        <color theme="1"/>
        <rFont val="Aptos Narrow"/>
        <family val="2"/>
        <scheme val="minor"/>
      </rPr>
      <t>5 key vendors</t>
    </r>
    <r>
      <rPr>
        <sz val="11"/>
        <color theme="1"/>
        <rFont val="Aptos Narrow"/>
        <family val="2"/>
        <scheme val="minor"/>
      </rPr>
      <t xml:space="preserve"> in critical categories.</t>
    </r>
  </si>
  <si>
    <t>Supplier Performance and Reliability at  95% on-time delivery, 98% quality compliance based on SOW</t>
  </si>
  <si>
    <t>Develop Procurement Team Capability</t>
  </si>
  <si>
    <r>
      <t xml:space="preserve">Ensure </t>
    </r>
    <r>
      <rPr>
        <b/>
        <sz val="11"/>
        <color theme="1"/>
        <rFont val="Aptos Narrow"/>
        <family val="2"/>
        <scheme val="minor"/>
      </rPr>
      <t>100% of team members complete procurement training or certification</t>
    </r>
    <r>
      <rPr>
        <sz val="11"/>
        <color theme="1"/>
        <rFont val="Aptos Narrow"/>
        <family val="2"/>
        <scheme val="minor"/>
      </rPr>
      <t xml:space="preserve"> (e.g., CIPS, CPSM) within the year.</t>
    </r>
  </si>
  <si>
    <t>Conduct bi-annual team performance reviews and IDP (Individual Development Plans).</t>
  </si>
  <si>
    <t>100% Warehouse process compliance on inventory Control and distribution management to different locations</t>
  </si>
  <si>
    <t>PAT00103</t>
  </si>
  <si>
    <t>OLANREWAJU AKINDELE</t>
  </si>
  <si>
    <t>Warehouse Manager</t>
  </si>
  <si>
    <t>Ensure a clean, safe, and hygienic warehouse environment at all times</t>
  </si>
  <si>
    <t xml:space="preserve">Achieve 100% daily hygiene and cleanliness checklist compliance </t>
  </si>
  <si>
    <t>Maintain full compliance with MRF processes for all dispatches</t>
  </si>
  <si>
    <t>Ensure 100% of dispatches meet MRF documentation and approval standards.</t>
  </si>
  <si>
    <t>Conduct and document monthly MRF compliance verification exercises with 100% completion.</t>
  </si>
  <si>
    <t>Inventory Control Management</t>
  </si>
  <si>
    <t>Achieve 100% monthly reporting on inventory movement and company asset tracking.</t>
  </si>
  <si>
    <t>Ensure 100% inventory record accuracy through monthly cycle counts.</t>
  </si>
  <si>
    <t>WH cost Control Management</t>
  </si>
  <si>
    <t>Achieve 100% on-time offloading of deliveries with zero demurrage occurrences.</t>
  </si>
  <si>
    <t>Central WH reports and Month end Audit handlings</t>
  </si>
  <si>
    <t>100% Maintain inventory master reports and daily repoting for all PAT WH across the country, document necessary/ information for audit need when required and reprting</t>
  </si>
  <si>
    <t>inbound and outbound transactions posted in ERP</t>
  </si>
  <si>
    <t xml:space="preserve">Ensure all inbound and outbound are posted on ERP within 24-48 hours upon activity action, </t>
  </si>
  <si>
    <t>PAT00032</t>
  </si>
  <si>
    <t>EKENE OBIAKOR</t>
  </si>
  <si>
    <t>Senior Procurement  Analyst</t>
  </si>
  <si>
    <t xml:space="preserve"> Ensure timely and efficient processing of purchase orders and vendor requests</t>
  </si>
  <si>
    <t>Track and report 100% of logistics-related operational cost approvals with a focus on identifying savings opportunities.</t>
  </si>
  <si>
    <t>Ensure PO issuance/Others are closed within 24-48 Hours of sumbission of correct Purchase request</t>
  </si>
  <si>
    <t>Drive strategic sourcing and competitive bidder selection</t>
  </si>
  <si>
    <t>Convert 100% of qualified business requests (RFP/RFQ) to finalized supplier selection decisions based on cost, quality, lead time, and sustainability.</t>
  </si>
  <si>
    <t>Improve turnaround time (TAT) for RFI, RFP, and RFQ processes by 20% quarter-over-quarter.</t>
  </si>
  <si>
    <t>Ensure all approved POs are sent to suppliers within 12 hours of final approval.</t>
  </si>
  <si>
    <t>Maintain 100% engagement reporting on new sourcing projects and supplier partnerships as assigned.</t>
  </si>
  <si>
    <t>Strengthen vendor accountability and performance tracking</t>
  </si>
  <si>
    <t>Issue debit notes to non-compliant vendors within 12 hours of notification in 100% of applicable cases.</t>
  </si>
  <si>
    <t>Track and report vendor performance metrics quarterly, with at least 95% completeness rate.</t>
  </si>
  <si>
    <t>Improve stakeholder satisfaction and enforce internal controls</t>
  </si>
  <si>
    <t>Achieve 100% follow-up on all assigned procurement and delivery timelines, ensuring closure as per SLA.</t>
  </si>
  <si>
    <t>Attain a stakeholder satisfaction rating of 90%+ in bi-annual internal feedback surveys.</t>
  </si>
  <si>
    <t>Ensure 100% of vendor payment requests are tracked from draft to final sign-off using an organized and updated database.</t>
  </si>
  <si>
    <t>Archive 100% of completed procurement documentation in compliance with audit and internal control requirements.</t>
  </si>
  <si>
    <t>PAT00125</t>
  </si>
  <si>
    <t>FEMI OBASUNLOYE</t>
  </si>
  <si>
    <t>Daily Procurement Engagement Tracking</t>
  </si>
  <si>
    <t>Track 100% of procurement engagements daily, including vendor and internal user requests.</t>
  </si>
  <si>
    <t>Follow up on 100% of assigned tasks to ensure closure within agreed timelines.</t>
  </si>
  <si>
    <t xml:space="preserve">Logistics Cost Management, </t>
  </si>
  <si>
    <t>Support on operational cost approvals on Logistics (100% Savings tracking), inclusive invoice tracking/review based on contract rates adherance</t>
  </si>
  <si>
    <t>PO Issuance and Documentation Review, Bid Process and Supplier Selection</t>
  </si>
  <si>
    <t>Review and support on all procurement on PO issuance/Others: within 24-48 Hours of sumbission of correct documentation/ SOW</t>
  </si>
  <si>
    <t>Convert business purchase requests (RFP/RFQ) to selection of best bidder considering cost, quality, leadtime and sustainability from source to service/Supply. Closure within 24 hours of receipt</t>
  </si>
  <si>
    <t>Build Strategic Supplier Relationships &amp;Contract Tracker and Database Management</t>
  </si>
  <si>
    <t>100% Reporting and project engagement with new partners as assigned on day to day basis</t>
  </si>
  <si>
    <t>Maintain Tracker &amp; Database Management for PAT Vendor Contract agreements 100% (from draft to sign off and archiving)</t>
  </si>
  <si>
    <t xml:space="preserve">Achieve Cost Efficiency and Warehouse Relationship Management </t>
  </si>
  <si>
    <t>Track and close 100% of procurement actions related to government remittances, approvals, and compliance.</t>
  </si>
  <si>
    <t>Collaborate with WH to resolve procurement issues within 48 hours.</t>
  </si>
  <si>
    <t>Submit monthly procurement support reports with 100% accuracy and timeliness.</t>
  </si>
  <si>
    <t>Technical Vendor Sourcing</t>
  </si>
  <si>
    <t>Execute 100% of technical vendor RFQ/RFP processes for new purchase requests within agreed timelines.</t>
  </si>
  <si>
    <t>Review and negotiate 100% of commercial terms before final supplier engagement.</t>
  </si>
  <si>
    <t>Maintain a database of all technical sourcing engagements with 100% completeness.</t>
  </si>
  <si>
    <t>Achieve 90%+ stakeholder satisfaction score for technical procurement processes.</t>
  </si>
  <si>
    <t>PAT00004</t>
  </si>
  <si>
    <t>ADEBAYO SALAWU</t>
  </si>
  <si>
    <t>Warehouse Coordinator</t>
  </si>
  <si>
    <t xml:space="preserve"> WH hygiene and cleanliness</t>
  </si>
  <si>
    <t>100% warehouse hygiene and cleanliness is always done daily and manage the team effectiveness</t>
  </si>
  <si>
    <t>Inhouse MRF compliance for all dispatches</t>
  </si>
  <si>
    <t>MRF 100% compliance for all dispatch from the warehouse after proper approval. preparation of monthly verification exercise.</t>
  </si>
  <si>
    <t>Measure and report the effectiveness of warehouse activities and Deliverables inclusive other job assigned</t>
  </si>
  <si>
    <t>100% Organize and maintain inventory/company asset tracking reporting for management reporting</t>
  </si>
  <si>
    <t>Ensure deliveries are offloaded timely with zero (0) demurrage</t>
  </si>
  <si>
    <t>PAT00056</t>
  </si>
  <si>
    <t>LAMIDI YUSUF</t>
  </si>
  <si>
    <t>Warehouse Offcer</t>
  </si>
  <si>
    <t>Ensure a consistently clean and hygienic warehouse environment through daily sanitation routines and team supervision.</t>
  </si>
  <si>
    <t>100% warehouse hygiene and cleanliness is always done daily</t>
  </si>
  <si>
    <t>Achieve 100% compliance with Material Request Form (MRF) protocols and ensure real-time, accurate updates to ERP Bincard systems.</t>
  </si>
  <si>
    <t>MRF 100% compliance for all dispatch from the warehouse and Bincard are updated correctly for ERP daily updates</t>
  </si>
  <si>
    <t>Monitor and report all warehouse operations and deliverables with 100% accuracy and timeliness to support informed decision-making.</t>
  </si>
  <si>
    <t>Measure and report the effectiveness of warehousing activities and Deliverables</t>
  </si>
  <si>
    <t>Maintain 100% inventory and asset accuracy through routine stock audits and reconciliation with ERP records.</t>
  </si>
  <si>
    <t>100% Organize and maintain inventory/company asset tracking</t>
  </si>
  <si>
    <t>Ensure 100% on-time deliveries and eliminate demurrage costs by proactively managing dispatch schedules and logistics coordination.</t>
  </si>
  <si>
    <t>Maintain accurate and up-to-date physical inventory records through periodic verification and alignment with system data.</t>
  </si>
  <si>
    <t>100% Maintain physical inventory records, document necessary information for physical inbound/dispatch from the WH. Inclusive other assigned jobs at the WH</t>
  </si>
  <si>
    <t>Ensure proper handling, storage, and documentation of high-value outdoor assets and equipment to prevent loss or damage.</t>
  </si>
  <si>
    <t>Ensure all WH outdoor assets inventories are properly arranged with 100% responsibility, also to supervise forklift usage/trucks loading for outbound delivery</t>
  </si>
  <si>
    <t>PAT00141</t>
  </si>
  <si>
    <t>OLUWATOBI OLAJIDE</t>
  </si>
  <si>
    <t>Financial Planning and Analysis Specialist</t>
  </si>
  <si>
    <t>Drive revenue and gross profit through contracting and value assurance</t>
  </si>
  <si>
    <t>Ensure 100% budget availability for the procurement, deployment, and installation of batteries across 150 targeted sites and diesel generators in line with budget</t>
  </si>
  <si>
    <t>Ensure capex spend in line with company needs</t>
  </si>
  <si>
    <t>Ensure 100% alignment of capex spending with approved strategic plans.</t>
  </si>
  <si>
    <t>Reduce unplanned capex variance to less than 5% of the annual budget.</t>
  </si>
  <si>
    <t>Ensure PAT fully abides with financial and non-financial regulations</t>
  </si>
  <si>
    <t>≤April 2025</t>
  </si>
  <si>
    <t xml:space="preserve">Ensure PAT FY 2024 audited statements are finalized and submitted by April 2025 </t>
  </si>
  <si>
    <t>Enhance Finance Team Performance, Career Growth, and Retention</t>
  </si>
  <si>
    <t>Ensure all Finance staff have OKRs set and aligned with business goals by the end of April 2025.</t>
  </si>
  <si>
    <t>Implement strategies to retain top Finance talent, ensuring attrition of senior personnel does not exceed 5%.</t>
  </si>
  <si>
    <t>Prepare annual budget and periodic forecast models along with their assumptions and margin of variance not more than 5%</t>
  </si>
  <si>
    <t>Manage PPE Schedules - addition is completely captured and depreciation accurately run</t>
  </si>
  <si>
    <t>Manage Prepayment Schedules  - addition is completely captured and amortization accurately charged to P/L</t>
  </si>
  <si>
    <t>Support to the management accounting and reporting teams for month end closure and audit related activities</t>
  </si>
  <si>
    <t>Supports company's insurance processing and facilitates the process of claim at intervals.</t>
  </si>
  <si>
    <t>Supports in developing standard templates, reporting dashboards and related files needed for reporting &amp; communication purposes at intervals</t>
  </si>
  <si>
    <t>PAT00005</t>
  </si>
  <si>
    <t>ABDULHAKEEM MIFTAUDEEN</t>
  </si>
  <si>
    <t xml:space="preserve">Senior Finance Manager </t>
  </si>
  <si>
    <t>Validate 100% of invoices within 3 working days of receipt to ensure billing accuracy, completeness, and compliance with financial standards.</t>
  </si>
  <si>
    <t>Conduct quarterly revenue assurance audits to detect and recover lost revenue.</t>
  </si>
  <si>
    <t>Seek to ensure business has optimal capital structure and a reduced net financing costs</t>
  </si>
  <si>
    <t>RMB/BOI</t>
  </si>
  <si>
    <t>Conclude RMB loan by Q2 2025 and conclude BOI loan by Q3 2025 to reduce average cost of debt</t>
  </si>
  <si>
    <t>Continiously seek to optimize capital structure by reducing overall cost of debt and managing cash on hand to generate as much interest income whenever possible</t>
  </si>
  <si>
    <t>Seek to reduce cost of sales</t>
  </si>
  <si>
    <t xml:space="preserve">Work closely with Operations team to ensure no diesel outages to sites </t>
  </si>
  <si>
    <t xml:space="preserve"> Achieve high diesel  supplier satisfaction with 85% satisfaction rate
 (measured through surveys and interviews)</t>
  </si>
  <si>
    <t>Ensure IT systems, processes, and initiatives are structured and implemented in line with best practices (within the finance function)</t>
  </si>
  <si>
    <t>Complete 100% implementation of approved IT financial controls.</t>
  </si>
  <si>
    <t>Implement IT automation to improve financial reporting efficiency by 30%.</t>
  </si>
  <si>
    <t>Complete ENL  post merger integration plan with plan to execute following PAT acquires 100% of ENL
Take control of ENL supervision across Finance. Budget, payment approval and financial control</t>
  </si>
  <si>
    <t>Ensure all gaps in company controls are mitigated (through running a full assessment of the company's controls' effectiveness and implementing recommendations)</t>
  </si>
  <si>
    <t xml:space="preserve">Ensure that the monthly remittance of VAT, consumption taxes and WHT are done by the last day of the new month to avoid penalties for the business. </t>
  </si>
  <si>
    <t>Maintain 100% regulatory compliance with all financial and statutory requirements.</t>
  </si>
  <si>
    <t>Achieve submission of the management report within the first 7 working from end of the previous month 95% of the time</t>
  </si>
  <si>
    <t>Achieve 100% review and posting of revenue into the ERP system before the 4th day of the following month. Also ensure proper customer recon quarterly</t>
  </si>
  <si>
    <t>Achieve quarterly review of vendor and client balances in the books and monthly check on the reconciled ledger balances and no abnormal items is found in the vendor and customer's card</t>
  </si>
  <si>
    <t>Ledger Reconciliation - ledger recon is done to ensure accuracy on or before 4th day of every month and no abnormal items is found in the monthly TB review</t>
  </si>
  <si>
    <t>Achieve 100% updated and accurate asset register and recognition of depreciation are done before the 4th day of the following month</t>
  </si>
  <si>
    <t>PAT00050</t>
  </si>
  <si>
    <t>SOLOMON ALO</t>
  </si>
  <si>
    <t xml:space="preserve">Treasury Specialist </t>
  </si>
  <si>
    <t>Ensure fund disbursement within 24hrs of management approval - for the procurement, deployment, and installation of batteries across 150 targeted sites and diesel generators in line with budget</t>
  </si>
  <si>
    <t>Substantially reduce use of high cost overdraft facilities to reduce overall net financing costs</t>
  </si>
  <si>
    <t>Ensure single action payments and not lumped payments are made to staff and contractors to avoid ambiguity and promote transparency</t>
  </si>
  <si>
    <r>
      <t>Cash Management And Forecasting</t>
    </r>
    <r>
      <rPr>
        <sz val="11"/>
        <color rgb="FF000000"/>
        <rFont val="Aptos Narrow"/>
        <family val="2"/>
        <scheme val="minor"/>
      </rPr>
      <t xml:space="preserve"> - achieve 100% of daily monitoring of cash balances of all company's accounts to achieve a strong liquidity position.</t>
    </r>
  </si>
  <si>
    <t>Cash Management And Forecasting - achieve 100% of daily monitoring of cash balances of all company's accounts to achieve a strong liquidity position.</t>
  </si>
  <si>
    <r>
      <t>Banking Relationship Management</t>
    </r>
    <r>
      <rPr>
        <sz val="11"/>
        <color rgb="FF000000"/>
        <rFont val="Aptos Narrow"/>
        <family val="2"/>
        <scheme val="minor"/>
      </rPr>
      <t xml:space="preserve"> - achieve great banking relationships to achieve resolutions on all bank matters within 24hrs to 48hrs.</t>
    </r>
  </si>
  <si>
    <t>Banking Relationship Management - achieve great banking relationships to achieve resolutions on all bank matters within 24hrs to 48hrs.</t>
  </si>
  <si>
    <r>
      <t xml:space="preserve">Payment Efficiency - </t>
    </r>
    <r>
      <rPr>
        <sz val="11"/>
        <color rgb="FF000000"/>
        <rFont val="Aptos Narrow"/>
        <family val="2"/>
        <scheme val="minor"/>
      </rPr>
      <t>achieve 100% error free in all payments upload &amp; transfer instructions, and no duplicates in payment.</t>
    </r>
  </si>
  <si>
    <t>Payment Efficiency - achieve 100% error free in all payments upload &amp; transfer instructions, and no duplicates in payment.</t>
  </si>
  <si>
    <r>
      <t xml:space="preserve">Bank Reconciliation - </t>
    </r>
    <r>
      <rPr>
        <sz val="11"/>
        <color rgb="FF000000"/>
        <rFont val="Aptos Narrow"/>
        <family val="2"/>
        <scheme val="minor"/>
      </rPr>
      <t>achieve 100% bank reconciliations of all PAT bank accounts on 5th day of new month</t>
    </r>
    <r>
      <rPr>
        <b/>
        <sz val="11"/>
        <color rgb="FF000000"/>
        <rFont val="Aptos Narrow"/>
        <family val="2"/>
        <scheme val="minor"/>
      </rPr>
      <t>.</t>
    </r>
  </si>
  <si>
    <t>Bank Reconciliation - achieve 100% bank reconciliations of all PAT bank accounts on 5th day of new month.</t>
  </si>
  <si>
    <t>PAT00139</t>
  </si>
  <si>
    <t>AFEEZ ADEBIMPE</t>
  </si>
  <si>
    <t>Senior Financial Reporting Manager</t>
  </si>
  <si>
    <t>Prepare, review, and analyze financial statements in compliance with accounting standards and regulatory requirements - deliver MA within the first 7 working from end of the previous month 95% of the time</t>
  </si>
  <si>
    <t>Collaborate with internal and external auditors to provide necessary information and support during audits, address any audit findings, and implement recommendations for improvement - interim audit closure - 31st Dec and year end audit - 28th Feb</t>
  </si>
  <si>
    <t>Champion regulatory requirement projects like ICFR, Tax Audit and related tasks - achieve 90% target timeline</t>
  </si>
  <si>
    <t>Review of income tax reports and liaising with tax consultants  - achieve 90% target timeline</t>
  </si>
  <si>
    <t>Develop and maintain financial reporting policies, procedures, and documentation in accordance with best practices and industry standards.</t>
  </si>
  <si>
    <t>Control review and GL hygiene - no abnormal items is found in the monthly TB review</t>
  </si>
  <si>
    <t>File FIRS annual return on or before the due date</t>
  </si>
  <si>
    <t>Drive annual CAFA processing</t>
  </si>
  <si>
    <t>PAT00138</t>
  </si>
  <si>
    <t>BENITA OKON</t>
  </si>
  <si>
    <t>Revenue Management Specialist</t>
  </si>
  <si>
    <t>Implement financial tracking to ensure zero revenue leakage from new contract terms.</t>
  </si>
  <si>
    <t>Reconcile 100% of excess power charges and collections as per the contract, ensuring that optimal billing values are reflected in financial records in favour of PAT.</t>
  </si>
  <si>
    <t>Manage working capital within target objectives by Q2 2025. As part of working capital management, seek to collect on outstanding receivables and reduce AR impairments</t>
  </si>
  <si>
    <t>Conclude reconciliation of outstanding receivables of all customers monthly</t>
  </si>
  <si>
    <t xml:space="preserve">Ensure 100% accuracy in invoices submitted (Inc. Optimal billing for excess power  in favour of PAT ) for 100% of invoices / sites </t>
  </si>
  <si>
    <r>
      <rPr>
        <b/>
        <sz val="11"/>
        <color rgb="FF000000"/>
        <rFont val="Aptos Narrow"/>
        <family val="2"/>
        <scheme val="minor"/>
      </rPr>
      <t>Revenue recognition:</t>
    </r>
    <r>
      <rPr>
        <sz val="11"/>
        <color rgb="FF000000"/>
        <rFont val="Aptos Narrow"/>
        <family val="2"/>
        <scheme val="minor"/>
      </rPr>
      <t xml:space="preserve"> achieve 100% revenue is recognized in compliance with company policies and accounting standards (completeness)</t>
    </r>
  </si>
  <si>
    <t>Revenue recognition: achieve 100% revenue is recognized in compliance with company policies and accounting standards (completeness)</t>
  </si>
  <si>
    <r>
      <rPr>
        <b/>
        <sz val="11"/>
        <color rgb="FF000000"/>
        <rFont val="Aptos Narrow"/>
        <family val="2"/>
        <scheme val="minor"/>
      </rPr>
      <t>Revenue Analysis:</t>
    </r>
    <r>
      <rPr>
        <sz val="11"/>
        <color rgb="FF000000"/>
        <rFont val="Aptos Narrow"/>
        <family val="2"/>
        <scheme val="minor"/>
      </rPr>
      <t xml:space="preserve"> Analyze revenue data to track performance across different revenue streams and periods. Also, investigating any discrepancies between revenue reports and actual payments received, looking into issues like excess payments, chargebacks, or accounting errors.</t>
    </r>
  </si>
  <si>
    <t>Revenue Analysis: Analyze revenue data to track performance across different revenue streams and periods. Also, investigating any discrepancies between revenue reports and actual payments received, looking into issues like excess payments, chargebacks, or accounting errors.</t>
  </si>
  <si>
    <r>
      <rPr>
        <b/>
        <sz val="11"/>
        <color rgb="FF000000"/>
        <rFont val="Aptos Narrow"/>
        <family val="2"/>
        <scheme val="minor"/>
      </rPr>
      <t>Budgeting</t>
    </r>
    <r>
      <rPr>
        <sz val="11"/>
        <color rgb="FF000000"/>
        <rFont val="Aptos Narrow"/>
        <family val="2"/>
        <scheme val="minor"/>
      </rPr>
      <t>: Develop projections for future periods as it relates to revenue per customer and collaborating with commercial departments to ensure accurate projections.</t>
    </r>
  </si>
  <si>
    <t>Budgeting: Develop projections for future periods as it relates to revenue per customer and collaborating with commercial departments to ensure accurate projections.</t>
  </si>
  <si>
    <r>
      <rPr>
        <b/>
        <sz val="11"/>
        <color rgb="FF000000"/>
        <rFont val="Aptos Narrow"/>
        <family val="2"/>
        <scheme val="minor"/>
      </rPr>
      <t>Site Revenue Reporting</t>
    </r>
    <r>
      <rPr>
        <sz val="11"/>
        <color rgb="FF000000"/>
        <rFont val="Aptos Narrow"/>
        <family val="2"/>
        <scheme val="minor"/>
      </rPr>
      <t>: Tracking and reporting revenue generated per site and identifying all unbilled sites with justifications to support the site performance process.</t>
    </r>
  </si>
  <si>
    <t>Site Revenue Reporting: Tracking and reporting revenue generated per site and identifying all unbilled sites with justifications to support the site performance process.</t>
  </si>
  <si>
    <r>
      <rPr>
        <b/>
        <sz val="11"/>
        <color rgb="FF000000"/>
        <rFont val="Aptos Narrow"/>
        <family val="2"/>
        <scheme val="minor"/>
      </rPr>
      <t xml:space="preserve">Payment Collection and Monitoring: </t>
    </r>
    <r>
      <rPr>
        <sz val="11"/>
        <color rgb="FF000000"/>
        <rFont val="Aptos Narrow"/>
        <family val="2"/>
        <scheme val="minor"/>
      </rPr>
      <t>Proactively following up with customers who have outstanding invoices, applying received payments to the appropriate customer accounts, ensuring that accounts are updated correctly, and tracking incoming payments from customers, ensuring they are processed and recorded accurately</t>
    </r>
  </si>
  <si>
    <t>Payment Collection and Monitoring: Proactively following up with customers who have outstanding invoices, applying received payments to the appropriate customer accounts, ensuring that accounts are updated correctly, and tracking incoming payments from customers, ensuring they are processed and recorded accurately</t>
  </si>
  <si>
    <r>
      <rPr>
        <b/>
        <sz val="11"/>
        <color rgb="FF000000"/>
        <rFont val="Aptos Narrow"/>
        <family val="2"/>
        <scheme val="minor"/>
      </rPr>
      <t>Bad Debt Management:</t>
    </r>
    <r>
      <rPr>
        <sz val="11"/>
        <color rgb="FF000000"/>
        <rFont val="Aptos Narrow"/>
        <family val="2"/>
        <scheme val="minor"/>
      </rPr>
      <t xml:space="preserve"> Identifying uncollectible accounts with commercials department and advising on  provisions for doubtful accounts where necessary</t>
    </r>
  </si>
  <si>
    <t>Bad Debt Management: Identifying uncollectible accounts with commercials department and advising on  provisions for doubtful accounts where necessary</t>
  </si>
  <si>
    <t>PAT00059</t>
  </si>
  <si>
    <t>FEYISAYO OSUN</t>
  </si>
  <si>
    <r>
      <t>Cash Management and Forecasting</t>
    </r>
    <r>
      <rPr>
        <sz val="11"/>
        <color rgb="FF000000"/>
        <rFont val="Aptos Narrow"/>
        <family val="2"/>
        <scheme val="minor"/>
      </rPr>
      <t xml:space="preserve"> - achieve 100% of daily monitoring of cash balances of all company's accounts to achieve a strong liquidity position.</t>
    </r>
  </si>
  <si>
    <t>Cash Management and Forecasting - achieve 100% of daily monitoring of cash balances of all company's accounts to achieve a strong liquidity position.</t>
  </si>
  <si>
    <r>
      <t xml:space="preserve">PAYMENT EFFICIENCY - </t>
    </r>
    <r>
      <rPr>
        <sz val="11"/>
        <color rgb="FF000000"/>
        <rFont val="Aptos Narrow"/>
        <family val="2"/>
        <scheme val="minor"/>
      </rPr>
      <t>achieve 100% error free in all payments upload &amp; transfer instructions, and no duplicates in payment.</t>
    </r>
  </si>
  <si>
    <t>PAYMENT EFFICIENCY - achieve 100% error free in all payments upload &amp; transfer instructions, and no duplicates in payment.</t>
  </si>
  <si>
    <r>
      <t xml:space="preserve">BANK RECONCILIATION - </t>
    </r>
    <r>
      <rPr>
        <sz val="11"/>
        <color rgb="FF000000"/>
        <rFont val="Aptos Narrow"/>
        <family val="2"/>
        <scheme val="minor"/>
      </rPr>
      <t>achieve 100% bank reconciliations of all PAT bank accounts on 5th day of new month</t>
    </r>
    <r>
      <rPr>
        <b/>
        <sz val="11"/>
        <color rgb="FF000000"/>
        <rFont val="Aptos Narrow"/>
        <family val="2"/>
        <scheme val="minor"/>
      </rPr>
      <t>.</t>
    </r>
  </si>
  <si>
    <t>BANK RECONCILIATION - achieve 100% bank reconciliations of all PAT bank accounts on 5th day of new month.</t>
  </si>
  <si>
    <t>PAT00146</t>
  </si>
  <si>
    <t>SODEEQ AKOREDE</t>
  </si>
  <si>
    <t>&gt;10%</t>
  </si>
  <si>
    <t>Improve ROI tracking on capex projects, ensuring a minimum return of 10% on investments.</t>
  </si>
  <si>
    <t>Investment Appraisal: Develop financial models to assess return on investment (ROI) and payback period prior to site investments and redevelopment projects.</t>
  </si>
  <si>
    <t>Contract Commercials Analysis: Prepare analysis of contract commercials for negotiations, ensuring a minimum 40% profit margin on customer contracts and a 10% cost saving on vendor contracts before finalizing.</t>
  </si>
  <si>
    <t>Board Pack Preparation: Collate and deliver quarterly board meeting materials, including monthly strategy and procurement committee decks, maintaining a 100% on-time delivery rate and 0% errors in data accuracy.</t>
  </si>
  <si>
    <t>Site Profitability Assurance: Conduct site profitability analysis for prior to every land lease renewal and opex deployment.</t>
  </si>
  <si>
    <t>PAT00031</t>
  </si>
  <si>
    <t>OLAMIDE JINADU</t>
  </si>
  <si>
    <t>Finance Officer</t>
  </si>
  <si>
    <r>
      <t>VENDOR SATISFACTION</t>
    </r>
    <r>
      <rPr>
        <sz val="11"/>
        <color rgb="FF000000"/>
        <rFont val="Aptos Narrow"/>
        <family val="2"/>
        <scheme val="minor"/>
      </rPr>
      <t>: Address all vendors queries within 24hrs to 48hrs max</t>
    </r>
  </si>
  <si>
    <t>VENDOR SATISFACTION: Address all vendors queries within 24hrs to 48hrs max</t>
  </si>
  <si>
    <r>
      <t>REPORTING</t>
    </r>
    <r>
      <rPr>
        <sz val="11"/>
        <color rgb="FF000000"/>
        <rFont val="Aptos Narrow"/>
        <family val="2"/>
        <scheme val="minor"/>
      </rPr>
      <t>: Achieve 100% classification of all payment vouchers on the respective GL by the 2nd of the following month</t>
    </r>
  </si>
  <si>
    <t>REPORTING: Achieve 100% classification of all payment vouchers on the respective GL by the 2nd of the following month</t>
  </si>
  <si>
    <r>
      <t>RECONCILIATION</t>
    </r>
    <r>
      <rPr>
        <sz val="11"/>
        <color rgb="FF000000"/>
        <rFont val="Aptos Narrow"/>
        <family val="2"/>
        <scheme val="minor"/>
      </rPr>
      <t>: Achieve 100% vendor account reconciliation with PAT payable within 48hrs of new payment</t>
    </r>
  </si>
  <si>
    <t>RECONCILIATION: Achieve 100% vendor account reconciliation with PAT payable within 48hrs of new payment</t>
  </si>
  <si>
    <r>
      <t>INVOICE &amp; PAYMENT ERROR RATE</t>
    </r>
    <r>
      <rPr>
        <sz val="11"/>
        <color rgb="FF000000"/>
        <rFont val="Aptos Narrow"/>
        <family val="2"/>
        <scheme val="minor"/>
      </rPr>
      <t>: Achieve 100% error free rate in all of the invoices submitted and accepted by finance, Achieve 0% duplicate payment of invoice from 100% payment made</t>
    </r>
    <r>
      <rPr>
        <b/>
        <sz val="11"/>
        <color rgb="FF000000"/>
        <rFont val="Aptos Narrow"/>
        <family val="2"/>
        <scheme val="minor"/>
      </rPr>
      <t>.</t>
    </r>
  </si>
  <si>
    <t>INVOICE &amp; PAYMENT ERROR RATE: Achieve 100% error free rate in all of the invoices submitted and accepted by finance, Achieve 0% duplicate payment of invoice from 100% payment made.</t>
  </si>
  <si>
    <r>
      <t>ASSET SCHEDULE</t>
    </r>
    <r>
      <rPr>
        <sz val="11"/>
        <color rgb="FF000000"/>
        <rFont val="Aptos Narrow"/>
        <family val="2"/>
        <scheme val="minor"/>
      </rPr>
      <t>: Attend to all asset classification request from warehouse within 24hrs to 48hrs</t>
    </r>
  </si>
  <si>
    <t>ASSET SCHEDULE: Attend to all asset classification request from warehouse within 24hrs to 48hrs</t>
  </si>
  <si>
    <r>
      <t xml:space="preserve">INVOICE PROCESSING TIME: </t>
    </r>
    <r>
      <rPr>
        <sz val="11"/>
        <color rgb="FF000000"/>
        <rFont val="Aptos Narrow"/>
        <family val="2"/>
        <scheme val="minor"/>
      </rPr>
      <t>Average time it takes to process an invoice from receipt.</t>
    </r>
    <r>
      <rPr>
        <b/>
        <sz val="11"/>
        <color rgb="FF000000"/>
        <rFont val="Aptos Narrow"/>
        <family val="2"/>
        <scheme val="minor"/>
      </rPr>
      <t xml:space="preserve">  </t>
    </r>
    <r>
      <rPr>
        <sz val="11"/>
        <color rgb="FF000000"/>
        <rFont val="Aptos Narrow"/>
        <family val="2"/>
        <scheme val="minor"/>
      </rPr>
      <t>Matching of all invoice and purchase order on Vendors account before transfer to treasury for payment within 24hrs of payment memo receipt.</t>
    </r>
  </si>
  <si>
    <t>INVOICE PROCESSING TIME: Average time it takes to process an invoice from receipt.  Matching of all invoice and purchase order on Vendors account before transfer to treasury for payment within 24hrs of payment memo receipt.</t>
  </si>
  <si>
    <r>
      <t>COMPLIANCE TO REGULATIONS</t>
    </r>
    <r>
      <rPr>
        <sz val="11"/>
        <color rgb="FF000000"/>
        <rFont val="Aptos Narrow"/>
        <family val="2"/>
        <scheme val="minor"/>
      </rPr>
      <t>: Achieve 100% of all invoices are subjected to VAT and WHT rates as applicable to job done or services rendered</t>
    </r>
  </si>
  <si>
    <t>COMPLIANCE TO REGULATIONS: Achieve 100% of all invoices are subjected to VAT and WHT rates as applicable to job done or services rendered</t>
  </si>
  <si>
    <r>
      <t>DUPLICATE PAYMENT RATE</t>
    </r>
    <r>
      <rPr>
        <sz val="11"/>
        <color rgb="FF000000"/>
        <rFont val="Aptos Narrow"/>
        <family val="2"/>
        <scheme val="minor"/>
      </rPr>
      <t>: Achieve 0% duplicate payment of invoice from 100% payment made</t>
    </r>
  </si>
  <si>
    <t>DUPLICATE PAYMENT RATE: Achieve 0% duplicate payment of invoice from 100% payment made</t>
  </si>
  <si>
    <r>
      <t>COST OF SALES</t>
    </r>
    <r>
      <rPr>
        <sz val="11"/>
        <color rgb="FF000000"/>
        <rFont val="Aptos Narrow"/>
        <family val="2"/>
        <scheme val="minor"/>
      </rPr>
      <t>: Achieve 100% complete recognition of cost of sales on SAP by 3rd of each month.</t>
    </r>
  </si>
  <si>
    <t>COST OF SALES: Achieve 100% complete recognition of cost of sales on SAP by 3rd of each month.</t>
  </si>
  <si>
    <t>PAT00162</t>
  </si>
  <si>
    <t>AMARA OKEKE</t>
  </si>
  <si>
    <t xml:space="preserve">Credit Control Specialst </t>
  </si>
  <si>
    <t>Maintain relationship with customers(ISPs) and handle disputes/discrepancies related to invoicing within 24hrs to 48hrs.</t>
  </si>
  <si>
    <t>Proactively manage collection efforts, ensuring that customers are contacted regularly regarding overdue payments - bad debt &lt; 30% of ISP receivables</t>
  </si>
  <si>
    <t>Negotiate payment plans or settlements for delinquent accounts when necessary - number of payments plan successfully negotiated and implemented</t>
  </si>
  <si>
    <t>Achieve 100% payments are posted accurately and timely within 24hrs to 48hrs.</t>
  </si>
  <si>
    <t xml:space="preserve">Analyze payment trends and provide insights to management to improve cash flow </t>
  </si>
  <si>
    <t>PAT00144</t>
  </si>
  <si>
    <t>ZAINAB KEKERE-EKUN</t>
  </si>
  <si>
    <t>Payable Specialist</t>
  </si>
  <si>
    <t>Seek opportunities to optimize ISM and site-related direct costs</t>
  </si>
  <si>
    <t>Verify and apply 100% of approved SLA breach penalties to MS vendors invoices monthly, in line with contractual terms and Operations' breach reports.</t>
  </si>
  <si>
    <t>MS Vendor SLA - Ensure penalties applied to ISMs for all breaches in SLAs Achieve high ops  suppliers (non diesel) satisfaction with 85% satisfaction rate
 (measured through surveys and interviews)</t>
  </si>
  <si>
    <r>
      <t>GL POSTING</t>
    </r>
    <r>
      <rPr>
        <sz val="11"/>
        <color rgb="FF000000"/>
        <rFont val="Aptos Narrow"/>
        <family val="2"/>
        <scheme val="minor"/>
      </rPr>
      <t>: Achieve 100% classification of all payment vouchers on the respective GL by the 2nd of the following month.</t>
    </r>
  </si>
  <si>
    <t>GL POSTING: Achieve 100% classification of all payment vouchers on the respective GL by the 2nd of the following month.</t>
  </si>
  <si>
    <r>
      <t>RECONCILIATION</t>
    </r>
    <r>
      <rPr>
        <sz val="11"/>
        <color rgb="FF000000"/>
        <rFont val="Aptos Narrow"/>
        <family val="2"/>
        <scheme val="minor"/>
      </rPr>
      <t>: Achieve 100% vendor account reconciliation with PAT payable within 48hrs of new payment.</t>
    </r>
  </si>
  <si>
    <t>RECONCILIATION: Achieve 100% vendor account reconciliation with PAT payable within 48hrs of new payment.</t>
  </si>
  <si>
    <r>
      <t>PAYABLE SCHEDULE -</t>
    </r>
    <r>
      <rPr>
        <sz val="11"/>
        <color rgb="FF000000"/>
        <rFont val="Aptos Narrow"/>
        <family val="2"/>
        <scheme val="minor"/>
      </rPr>
      <t xml:space="preserve"> Achieve 100% all Payable schedules are accurate and reconciled as per Trial Balance.</t>
    </r>
  </si>
  <si>
    <t>PAYABLE SCHEDULE - Achieve 100% all Payable schedules are accurate and reconciled as per Trial Balance.</t>
  </si>
  <si>
    <r>
      <t>COMPLIANCE TO REGULATIONS</t>
    </r>
    <r>
      <rPr>
        <sz val="11"/>
        <color rgb="FF000000"/>
        <rFont val="Aptos Narrow"/>
        <family val="2"/>
        <scheme val="minor"/>
      </rPr>
      <t>: Ensure 100% of all invoices are subjected to VAT and WHT rates as applicable to job done or services rendered</t>
    </r>
  </si>
  <si>
    <t>COMPLIANCE TO REGULATIONS: Ensure 100% of all invoices are subjected to VAT and WHT rates as applicable to job done or services rendered</t>
  </si>
  <si>
    <r>
      <t>REPORTING:</t>
    </r>
    <r>
      <rPr>
        <sz val="11"/>
        <color rgb="FF000000"/>
        <rFont val="Aptos Narrow"/>
        <family val="2"/>
        <scheme val="minor"/>
      </rPr>
      <t xml:space="preserve"> Achieve accuracy of AP report alongside DPO Days Payable Outstandings.</t>
    </r>
  </si>
  <si>
    <t>REPORTING: Achieve accuracy of AP report alongside DPO Days Payable Outstandings.</t>
  </si>
  <si>
    <t>PAT00169</t>
  </si>
  <si>
    <t>OLAREWAJU IBRAHEEM</t>
  </si>
  <si>
    <t>Finance Director</t>
  </si>
  <si>
    <t>&gt;20%</t>
  </si>
  <si>
    <t>Work closely with Commercial team and CEO to achieve an improvement in Airtel contract terms (minimum uplift of 20%)</t>
  </si>
  <si>
    <t>Ensure 100% budget availability and timely disbursement for the procurement, deployment, and installation of batteries across 150 targeted sites and diesel generators in line with budget</t>
  </si>
  <si>
    <t>Ensure 100% correct deductions of SLA penalties before processing MS vendors' payments, with validation against signed-off breach documentation.</t>
  </si>
  <si>
    <t>Conclude reconciliation of outstanding receivables of all customers – Q3 2025</t>
  </si>
  <si>
    <t>&lt;Mn 4,700</t>
  </si>
  <si>
    <t xml:space="preserve"> Ensure maintenance capex in line with budget and does not exceed NGN Mn 4,700</t>
  </si>
  <si>
    <t>Saving from Fuel - Grid Sites - Ensure grid connectivity is operational for all sites connected to the grid</t>
  </si>
  <si>
    <t>OPEX saving from CNG operated Sites (Define How many sites or Total Opex savings expected)</t>
  </si>
  <si>
    <t>Saving from Fuel - DG-Battery Hybrid Sites - Connect 150 Sites</t>
  </si>
  <si>
    <t>Achieve zero non-compliance penalties or fines.</t>
  </si>
  <si>
    <t>Collaborate with HR to define a clear career roadmap for all  Finance positions and ensure 100% adoption within the team by Q3 2025.</t>
  </si>
  <si>
    <t>ARUN PANDA</t>
  </si>
  <si>
    <t>Chief Technical Officer</t>
  </si>
  <si>
    <t>Achieve Average PA &gt; 99.5% for every month staring August 2025 (refer to 'PA Glide Path' below)</t>
  </si>
  <si>
    <t>&gt;99.2%</t>
  </si>
  <si>
    <t>Achieve Average  PA &gt; 99.5% for every month staring August 2025 (refer to 'PA Glide Path' below)</t>
  </si>
  <si>
    <t>Ensure average fault count &lt;70</t>
  </si>
  <si>
    <t>&lt;70</t>
  </si>
  <si>
    <t>Ensure MTTR &lt;120minutes</t>
  </si>
  <si>
    <t>&lt;120min</t>
  </si>
  <si>
    <t>65% and above sites meeting PA &gt; 99.5%</t>
  </si>
  <si>
    <t>Ensure no diesel outages to sites</t>
  </si>
  <si>
    <t>Achieve high diesel supplier satisfaction with 85% satisfaction rate
 (measured through surveys and interviews)</t>
  </si>
  <si>
    <t>'0' outages/cycle</t>
  </si>
  <si>
    <t>Achieve high diesel supplier satisfaction with 85% satisfaction rate (measured through surveys and interviews)</t>
  </si>
  <si>
    <t xml:space="preserve">Make sure PAT scores highly in stakeholder satisfaction scores </t>
  </si>
  <si>
    <t>MS Vendor SLA - Ensure penalties applied to ISMs for all breaches in SLAs Achieve high ops suppliers (non diesel) satisfaction with 85% satisfaction rate (measured through surveys and interviews)</t>
  </si>
  <si>
    <t>Ensure growth capex in line with budget</t>
  </si>
  <si>
    <t>as per budget</t>
  </si>
  <si>
    <t xml:space="preserve">Ensure cash balance in line with budget with no need for external funding </t>
  </si>
  <si>
    <t>Ensure maintenance capex in line with budget and does not exceed NGN Mn 4,700</t>
  </si>
  <si>
    <t>&lt;4700Mn</t>
  </si>
  <si>
    <t>Deliver Gross Profit of NGN Bn 19 by Q4 2025 (and cumulative GP of NGN Bn 8.4 by Q2 2025)</t>
  </si>
  <si>
    <t>OPEX saving from CNG operated Sites (as per the number of sites approved by the commitee)</t>
  </si>
  <si>
    <t>Ensure understanding of full quantum of diesel theft through various means (i.e., RMS, dry date shift etc.)</t>
  </si>
  <si>
    <t>Improve accuracy of diesel allocation by recording less diesel sustenance. Achieve 75% reduction in fuel drop on all RMS sites by Q4. FY diesel theft and dry date shift should not be more than 250m</t>
  </si>
  <si>
    <t>Ensure highly efficient NOC including Remote Monitoring System (RMS) installed and fully operational for 100% of new and existing sites</t>
  </si>
  <si>
    <t>Deliver Gross Profit of NGN Bn 19 by Q4 2025 (and cumulative GP of NGN Bn 8.4 by Q2 2025)
Deliver uptime of 99.5% for 5 months of the year</t>
  </si>
  <si>
    <t>Energy management - Ensure adequate billing for underbilled sites</t>
  </si>
  <si>
    <t>Ensure new tower rollout timing in line with agreed upon SLAs</t>
  </si>
  <si>
    <t>Ensure new tower rollout fully complies with agreed upon site layout</t>
  </si>
  <si>
    <t>Complete ENL post merger integration plan with plan to execute following PAT acquires 100% of ENL
Take control of ENL supervision across Operations</t>
  </si>
  <si>
    <t xml:space="preserve">Fully integrate ENL into PAT </t>
  </si>
  <si>
    <t>ANTHONY OSAKWE</t>
  </si>
  <si>
    <t>Director, Technical</t>
  </si>
  <si>
    <t>Ensure maintenance capex in line with budget</t>
  </si>
  <si>
    <t>SWAPNIL MAHADIK</t>
  </si>
  <si>
    <t>GM, Operations</t>
  </si>
  <si>
    <t>Achieve high diesel supply satisfaction with 85% satisfaction rate
 (measured through surveys and interviews)</t>
  </si>
  <si>
    <t>Achieve high diesel supply satisfaction with 85% satisfaction rate (measured through surveys and interviews)</t>
  </si>
  <si>
    <t>MS Vendor SLA - Ensure penalties applied to ISMs for all breaches in SLAs. Achieve high ops suppliers (non diesel) satisfaction with 85% satisfaction rate (measured through surveys and interviews)</t>
  </si>
  <si>
    <t>Improve accuracy of diesel consumption by recording less diesel sustenance. Achieve 75% reduction in fuel drop on all RMS sites by Q4. FY diesel theft and dry date shift should not be more than 250m</t>
  </si>
  <si>
    <t>MURTALA ABDULMUMIN</t>
  </si>
  <si>
    <t>GM, Service Assurance</t>
  </si>
  <si>
    <t>Saving from Fuel - Grid Sites - Ensure RMS connectivity is operational for all sites connected to the grid</t>
  </si>
  <si>
    <t>Energy management - Ensure 100% energy consumption data for tenants connected on RMS (Airtel &amp; MTN)</t>
  </si>
  <si>
    <t xml:space="preserve">OLAONIPEKUN IKUOMOLA </t>
  </si>
  <si>
    <t>Head, Project</t>
  </si>
  <si>
    <t>Ensure new tower rollout timing in line with agreed upon SLAs 35days for BTS &amp; re-built site</t>
  </si>
  <si>
    <t>Ensure new tower rollout timing in line with agreed upon SLAs 10days for COLO upgrade</t>
  </si>
  <si>
    <t>Ensure 100% annual tower preventive maintenance</t>
  </si>
  <si>
    <t xml:space="preserve">EYITAYO KOLAWOLE </t>
  </si>
  <si>
    <t>Diesel Coordinator</t>
  </si>
  <si>
    <t>Ensure approved diesel allocation is sent to the supplier, 7 days to the commencement of supply, currently 24th of ever month.</t>
  </si>
  <si>
    <t>Ensure accuracy of diesel consumption per day (CPD) on sites without RMS. Visit five sites per month to physically calculate the CPD.</t>
  </si>
  <si>
    <t>Ensure reduction of diesel allocation to sites with new DGs and Grid availability</t>
  </si>
  <si>
    <t>Achieve high diesel supply satisfaction with 95% satisfaction rate
 (measured through surveys and interviews)</t>
  </si>
  <si>
    <t>Ensure debt notes are issued to ISMs or Security Company on cases of missing diesel within 24hrs</t>
  </si>
  <si>
    <t>ADEGBENRO AJEGUNMA</t>
  </si>
  <si>
    <t>Head Security</t>
  </si>
  <si>
    <t>Ensure installation of CCTV at 100 sites before end of December 2025</t>
  </si>
  <si>
    <t>Ensure installation of smart access control (including setting up of security NOC) on all PAT sites before end of December 2025 in line with approved budget and 100% adherance to the security guidelines on vistor log books on site</t>
  </si>
  <si>
    <t>Ensure installation of smart access control on all PAT sites before end of December 2025 in line with approved budget</t>
  </si>
  <si>
    <t>Ensure note more than 5 security payment related issues arise monthly</t>
  </si>
  <si>
    <t>Ensure resolution of all security payment related issues within 2hrs of notification</t>
  </si>
  <si>
    <t>Ensure timely payment of security agencies/guards salary before 7th of the following month</t>
  </si>
  <si>
    <t>Ensure debit advice are notified to the diesel coordinator/operations team for cases of missing diesel quantity/site assests within 48hrs</t>
  </si>
  <si>
    <t>Achieve security SLA satisfaction with 95% satisfaction rate</t>
  </si>
  <si>
    <t>Achieve 90% on action taken on theft cases reported (other than diesel)</t>
  </si>
  <si>
    <t>Achieve 90% on action taken on theft cases reported (diesel)</t>
  </si>
  <si>
    <t>VACANT</t>
  </si>
  <si>
    <t>Project Manager - Civil (Vacant)</t>
  </si>
  <si>
    <t>Deployment implementation (All projects- BTS, COLO, Tower PPM etc)</t>
  </si>
  <si>
    <t>Deployment quality assurance (BTS, COLLO, Infra correction, etc)</t>
  </si>
  <si>
    <t>AYOOLA AKALA</t>
  </si>
  <si>
    <t>SO Coordinator</t>
  </si>
  <si>
    <t>Project acceptance adherence (All sites ATP compliance and quality delivery)</t>
  </si>
  <si>
    <t>Project documentation management (Project Milestone, JCC, C-Modules, MRF &amp; MTF) - completion within 24 - 48hrs of receipt</t>
  </si>
  <si>
    <t>Project documentation management (Project Milestone, JCC, C-Modules, MRF &amp; MTF)</t>
  </si>
  <si>
    <t>Material Management (Inventory of free issue equipment for project support</t>
  </si>
  <si>
    <t>Site preliminary implementation (TSS, Soil Test, Site Drawings)  - completion within 72hrs of receipt</t>
  </si>
  <si>
    <t>Site preliminary implementation (TSS, Soil Test, Site Drawings)</t>
  </si>
  <si>
    <t>Operations Intelligence Manager (Vacant)</t>
  </si>
  <si>
    <t>Incident management: manage and coordinate faults in real time to reduce mean time to detect (MTTD) and mean time to repair (MTTR)</t>
  </si>
  <si>
    <t>10% reduction</t>
  </si>
  <si>
    <t>Ensure SOPs for all opearational activities</t>
  </si>
  <si>
    <t>Analyse fault data, identify trends, predict faults, and implement measure to prevent repeated failures. &lt; 3 faults per month</t>
  </si>
  <si>
    <t>&lt; 3</t>
  </si>
  <si>
    <t>Analyse fault data, identify trends, predict faults, and implement measure to prevent repeated failures</t>
  </si>
  <si>
    <t>1% reduction per month in number of site not meeting 99.5% PA</t>
  </si>
  <si>
    <t>5% reduction per month in number of site with &gt;3 faults per month</t>
  </si>
  <si>
    <t>OSEMEKE AUSTIN</t>
  </si>
  <si>
    <t>Maintenance Manager</t>
  </si>
  <si>
    <t>MS Vendor SLA - Ensure penalties applied to MS for all breaches related to non-routine maintenance on DG.</t>
  </si>
  <si>
    <t>Ensure DG faults &lt;1.7 per site</t>
  </si>
  <si>
    <t>Ensure DG faults &lt;1.3 per site</t>
  </si>
  <si>
    <t>Ensure MTTR &lt;120minutes for DG faults</t>
  </si>
  <si>
    <t>Opex Control: Ensure 100% DG operations between 50% to 80% loading for all cases except DG capacity of 13.5Kva and below</t>
  </si>
  <si>
    <t>Ensure 100% DG manageability on all RMS connected sites</t>
  </si>
  <si>
    <t>SHOLA OKE</t>
  </si>
  <si>
    <t>PPM Manager</t>
  </si>
  <si>
    <t>MS Vendor SLA - Ensure penalties applied to MS for all breaches related to routine preventive maintenance and janitorial</t>
  </si>
  <si>
    <t>Ensure electrical faults &lt;0.5 per site</t>
  </si>
  <si>
    <t>Ensure MTTR &lt;90minutes for electrical faults</t>
  </si>
  <si>
    <t xml:space="preserve">Ensure utilization of rectifier/modules less than 80% </t>
  </si>
  <si>
    <t>Opex Control: Ensure optimal operations for DG battery hybrid solution deployed</t>
  </si>
  <si>
    <t>SULTAN KUTI</t>
  </si>
  <si>
    <t>SME Grid Maintenance</t>
  </si>
  <si>
    <t>Opex Control: Saving from Fuel - Grid Sites - Ensure grid is operational for all on-grid sites (e.g transformer issue, PHCN payment issues, e.t.c)</t>
  </si>
  <si>
    <t>Connect 200 off-grid sites to national grid</t>
  </si>
  <si>
    <t>Connect 30% of new BTS on national grid</t>
  </si>
  <si>
    <t xml:space="preserve">Ensure SLA compliance on grid availability and annual maintenance by site maintenance contractor </t>
  </si>
  <si>
    <t>RM/SDS</t>
  </si>
  <si>
    <t>Operations Manager</t>
  </si>
  <si>
    <t>Ensure average fault per site of &lt; 2. 4 per month</t>
  </si>
  <si>
    <t>&lt;2.4</t>
  </si>
  <si>
    <t>Ensure MTTR &lt;90minutes</t>
  </si>
  <si>
    <t>&lt;90min</t>
  </si>
  <si>
    <t>Ensure average RMS sensors availability of 95% per month</t>
  </si>
  <si>
    <t>MS Vendor SLA - Ensure 95% compliance on PPM and janitorial</t>
  </si>
  <si>
    <t>FD00001</t>
  </si>
  <si>
    <t>FEMI PHILLIPS OLADIPUPO</t>
  </si>
  <si>
    <t>FD00002</t>
  </si>
  <si>
    <t>EMMANUEL EZE</t>
  </si>
  <si>
    <t>FD00003</t>
  </si>
  <si>
    <t>FRANCIS ONWU INYA</t>
  </si>
  <si>
    <t>FD00004</t>
  </si>
  <si>
    <t>NONSO CHIKANI</t>
  </si>
  <si>
    <t>FD00005</t>
  </si>
  <si>
    <t xml:space="preserve">ODUNLAMI GABRIEL OLUSEYI </t>
  </si>
  <si>
    <t>FD00006</t>
  </si>
  <si>
    <t>EMMANUEL-OLADIMEJI OLAYINKA</t>
  </si>
  <si>
    <t>FD00007</t>
  </si>
  <si>
    <t>OJOGUNA UGBETA</t>
  </si>
  <si>
    <t>FD00008</t>
  </si>
  <si>
    <t>OLALEKAN EMMANUEL ADEESO</t>
  </si>
  <si>
    <t>FD00009</t>
  </si>
  <si>
    <t>JEPHTHAH BELLO</t>
  </si>
  <si>
    <t>FD00010</t>
  </si>
  <si>
    <t>GEMU GARBA PHILIBUS</t>
  </si>
  <si>
    <t>FD00011</t>
  </si>
  <si>
    <t>SUNDAY MATHIAS AKPAN</t>
  </si>
  <si>
    <t>FD00013</t>
  </si>
  <si>
    <t>IKENNA EKERE</t>
  </si>
  <si>
    <t>FD00014</t>
  </si>
  <si>
    <t>KINGSLEY EZE</t>
  </si>
  <si>
    <t>FD00015</t>
  </si>
  <si>
    <t>NKEM NJOKU</t>
  </si>
  <si>
    <t>FD00016</t>
  </si>
  <si>
    <t>YEKINI KABIRU ALABI</t>
  </si>
  <si>
    <t>FD00017</t>
  </si>
  <si>
    <t>ADENIJI OLUWASEGUN TUNDE</t>
  </si>
  <si>
    <t>FD00020</t>
  </si>
  <si>
    <t>DANIEL ABERARE</t>
  </si>
  <si>
    <t>FD00021</t>
  </si>
  <si>
    <t>EMMANUEL EKPENYONG</t>
  </si>
  <si>
    <t>FD00022</t>
  </si>
  <si>
    <t>FRED UGBAJE</t>
  </si>
  <si>
    <t>FD00023</t>
  </si>
  <si>
    <t>ANTHONY OMORODION</t>
  </si>
  <si>
    <t>FD00027</t>
  </si>
  <si>
    <t>ABUMENRE LAWRENCE ORELE</t>
  </si>
  <si>
    <t>FD00029</t>
  </si>
  <si>
    <t>NGWU NATHAN</t>
  </si>
  <si>
    <t>FD00032</t>
  </si>
  <si>
    <t>TAIWO OLADIPUPO</t>
  </si>
  <si>
    <t>FD00034</t>
  </si>
  <si>
    <t>SALAUDEEN MUTIU OLADIMEJI</t>
  </si>
  <si>
    <t>FD00035</t>
  </si>
  <si>
    <t>MUSA  IBRAHIM </t>
  </si>
  <si>
    <t>FD00038</t>
  </si>
  <si>
    <t xml:space="preserve">ONUH DAVID DAVID </t>
  </si>
  <si>
    <t>FD00039</t>
  </si>
  <si>
    <t>ONUORAH MICHEAL</t>
  </si>
  <si>
    <t>FD00040</t>
  </si>
  <si>
    <t>THOMAS ILUOBE</t>
  </si>
  <si>
    <t>FD00041</t>
  </si>
  <si>
    <t>AKINBOLA LAWRENCE</t>
  </si>
  <si>
    <t>FD00042</t>
  </si>
  <si>
    <t>OSAJIE EIGBE COVENANT </t>
  </si>
  <si>
    <t>FD00043</t>
  </si>
  <si>
    <t>AKPOSUBI OVUODOROYE</t>
  </si>
  <si>
    <t>FD00044</t>
  </si>
  <si>
    <t>IDONGESIT AKPAN </t>
  </si>
  <si>
    <t>FD00046</t>
  </si>
  <si>
    <t>BARNABAS AKUHWA</t>
  </si>
  <si>
    <t>FD00047</t>
  </si>
  <si>
    <t>BABATUNDE AYENI</t>
  </si>
  <si>
    <t>FD00048</t>
  </si>
  <si>
    <t>ADEDOKUN EBENEZER</t>
  </si>
  <si>
    <t>FD00049</t>
  </si>
  <si>
    <t>OLADEJO OLAJIDE</t>
  </si>
  <si>
    <t>FD00050</t>
  </si>
  <si>
    <t>EMMANUEL MADUEKE</t>
  </si>
  <si>
    <t>FD00051</t>
  </si>
  <si>
    <t>OREOLUWA TUNDE</t>
  </si>
  <si>
    <t>FD00052</t>
  </si>
  <si>
    <t>KINGSLEY OHAKWE</t>
  </si>
  <si>
    <t>FD00055</t>
  </si>
  <si>
    <t>INNOCENT AGBO</t>
  </si>
  <si>
    <t>SME DG (Vacant)</t>
  </si>
  <si>
    <t>Ensure reduction of DG fault by 10%</t>
  </si>
  <si>
    <t>Increase the life span of DGs by 10%</t>
  </si>
  <si>
    <t>Ensure accuracy in DG inventry management (field and warehouse)</t>
  </si>
  <si>
    <t>LAWRENCE UKWENYA</t>
  </si>
  <si>
    <t>Reconciliation Officer - Airtel</t>
  </si>
  <si>
    <t>Reconciliation with Airtel</t>
  </si>
  <si>
    <t>&lt;7 Days</t>
  </si>
  <si>
    <t>Ensure &lt;7Days Sign off of Monthly PA Post reconciliation for Airtel</t>
  </si>
  <si>
    <t>Reconciliation with MS Vendor</t>
  </si>
  <si>
    <t>Ensure &lt;7Days Sign off of Monthly PA Post reconciliation for Watt and Reimi</t>
  </si>
  <si>
    <t>Reconciliation with ISP</t>
  </si>
  <si>
    <t>&lt;3 Days</t>
  </si>
  <si>
    <t>Ensure &lt;3Days Sign off of Monthly PA Post reconciliation for ISPs (Bitflux, Spectranet)</t>
  </si>
  <si>
    <t>NOC Ticket closure rate</t>
  </si>
  <si>
    <t>Ensure 90% Monthly closure rate of Airtel tickets</t>
  </si>
  <si>
    <t>YUSUF ABIODUN</t>
  </si>
  <si>
    <t>Reconciliation Officer - MTN</t>
  </si>
  <si>
    <t>Reconciliation with MTN</t>
  </si>
  <si>
    <t>Ensure &lt;7Days Sign off of Monthly PA Post reconciliation for MTN</t>
  </si>
  <si>
    <t>Ensure &lt;7Days Sign off of Monthly PA Post reconciliation for Safari and Tyllium</t>
  </si>
  <si>
    <t>Ensure &lt;3Days Sign off of Monthly PA Post reconciliation for ISP (Cyber space)</t>
  </si>
  <si>
    <t>Ensure 70% Daily closure rate of MTN tickets</t>
  </si>
  <si>
    <t>ONYEKA OKWUENYI</t>
  </si>
  <si>
    <t>NOC Team lead (1 - vacant)</t>
  </si>
  <si>
    <t>NOC Ticket closure rate-MTN</t>
  </si>
  <si>
    <t>NOC Ticket closure rate-Airtel</t>
  </si>
  <si>
    <t>Ensure 90% Daily closure rate of Airtel tickets</t>
  </si>
  <si>
    <t>NOC Ticket closure rate-Alarm</t>
  </si>
  <si>
    <t>Ensure 95% Daily closure rate of Passive alarms</t>
  </si>
  <si>
    <t>Prompt Hourly outage reporting</t>
  </si>
  <si>
    <t>&lt;15 Mins</t>
  </si>
  <si>
    <t>Ensure not more than 15mins after the hour mark of hourly outage report</t>
  </si>
  <si>
    <t>Ensure reduction of Passive alarm count</t>
  </si>
  <si>
    <t>Ensure monthly reduction of critical alarms by 1%.</t>
  </si>
  <si>
    <t>Governance of MS Vendors</t>
  </si>
  <si>
    <t>Minimum of 3 weekly governance meeting with MS Vendor NOC Managers</t>
  </si>
  <si>
    <t>GODWIN IHIMI</t>
  </si>
  <si>
    <t>RMS Operator</t>
  </si>
  <si>
    <t>Remote Monitoring System (RMS) installed and Connected for 100% of new and existing sites</t>
  </si>
  <si>
    <t>Ensure Remote Monitoring System (RMS) installed and fully operational for 100% of new and existing sites</t>
  </si>
  <si>
    <t>Energy management - Ensure 100% accurate energy consumption data for tenants connected on RMS (Airtel &amp; MTN)</t>
  </si>
  <si>
    <t>Saving from Fuel - Grid Sites - Ensure RMS AC Meter connectivity is operational for all sites connected to the grid</t>
  </si>
  <si>
    <t>Ensure 100% Energy and Fuel RMS Visibility on DG-Battery Hybrid Sites</t>
  </si>
  <si>
    <t>Ensure 80% Green (All RMS sensor are fine) for all New and Existing sites</t>
  </si>
  <si>
    <t>Ensure maintenance capex in line with budget and does not exceed NGN Mn 406 (RMS) &amp; NGN Mn 133.9 (Tank Calibration)</t>
  </si>
  <si>
    <t xml:space="preserve">Ensure 100% free issues on the Fuel Sensor for all Calibrated sites </t>
  </si>
  <si>
    <t>Ensure 100% Energy and Fuel visibility on CNG operated Sites (as per the number of sites approved by the commitee)</t>
  </si>
  <si>
    <t>OPEYEMI OLOWE</t>
  </si>
  <si>
    <t>Operations Support Specialist</t>
  </si>
  <si>
    <t>Reduction repeat failures</t>
  </si>
  <si>
    <t>Ensure average &gt;30% Reduction of Wost Site</t>
  </si>
  <si>
    <t>MNO Governance Presentation</t>
  </si>
  <si>
    <t>Ensure MNO Governance slides is shared error free and on time</t>
  </si>
  <si>
    <t>ISP Governance Presentation</t>
  </si>
  <si>
    <t>Ensure ISP Governance slides is shared error free and on time</t>
  </si>
  <si>
    <t>EFE  IGBAGBON</t>
  </si>
  <si>
    <t>Governance Lead</t>
  </si>
  <si>
    <t>Ensure 95% closure rate of problem tickets ( including 25 worst sites)</t>
  </si>
  <si>
    <t>PAT00006</t>
  </si>
  <si>
    <t>70% and above sites meeting PA &gt; 99.5%</t>
  </si>
  <si>
    <t>70% and above sites meeting PA &gt; 99.5% for high value/priority sites</t>
  </si>
  <si>
    <t>Governance Tracking</t>
  </si>
  <si>
    <t>Governance with ISP &amp; Regulatory team</t>
  </si>
  <si>
    <t>PAT00160</t>
  </si>
  <si>
    <t>CLEMENT OHWO</t>
  </si>
  <si>
    <t>NOC Engineer - Airtel SA</t>
  </si>
  <si>
    <t>NOC</t>
  </si>
  <si>
    <t>RCA Accuracy of tickets which matches the on- field actual root causes and resolution (e.g., Trip Breaker for over 2.5 hours is unacceptable or  Synchronization failure between Grid-DG, DG powered is not a correct RCA)</t>
  </si>
  <si>
    <t>Ensure 95% RCA accuracy rate of tickets which matches the on- field actual root causes and resolution</t>
  </si>
  <si>
    <t>70% and above sites meeting PA &gt; 99.5% for Airtel</t>
  </si>
  <si>
    <t>Ensure average fault count &lt;28</t>
  </si>
  <si>
    <t>&lt;28</t>
  </si>
  <si>
    <t>Ensure daily average fault count &lt;28</t>
  </si>
  <si>
    <t>Ensure 1% Monthly reduction of Critical Passive alarm</t>
  </si>
  <si>
    <t>Ensure ISP tickets and outages are captured</t>
  </si>
  <si>
    <t>Ensure 100%  ISP tickets and outages are captured on the service desk outage log</t>
  </si>
  <si>
    <t>PAT00116</t>
  </si>
  <si>
    <t>AYOBAMI ADEDEJI</t>
  </si>
  <si>
    <t>NOC Engineer - Service Desk</t>
  </si>
  <si>
    <t>NOC Ticket closure rate MTN/Airtel/ISP</t>
  </si>
  <si>
    <t>Ensure 90% Daily closure rate of all outages (MTN/Airtel/ISP)</t>
  </si>
  <si>
    <t>Response to Customer escalation and field request</t>
  </si>
  <si>
    <t>1 hr</t>
  </si>
  <si>
    <t>Ensure 100% generation and monitoring to Access Refs and request to site within 1hr</t>
  </si>
  <si>
    <t>PAT00111</t>
  </si>
  <si>
    <t>SANDRA UZOMA</t>
  </si>
  <si>
    <t>PAT00047</t>
  </si>
  <si>
    <t>YAZUN WINIFRED</t>
  </si>
  <si>
    <t>PAT00038</t>
  </si>
  <si>
    <t>CYNTHIA MADU</t>
  </si>
  <si>
    <t>PAT00039</t>
  </si>
  <si>
    <t>ODII EBUKA KELECHI</t>
  </si>
  <si>
    <t>PAT00013</t>
  </si>
  <si>
    <t>JEREMIAH UNUEKOKIGHO</t>
  </si>
  <si>
    <t>PAT00040</t>
  </si>
  <si>
    <t>FATAI ABOGUNLOKO</t>
  </si>
  <si>
    <t>PAT00119</t>
  </si>
  <si>
    <t>OLUWAGBEMIGA ADEBAYO</t>
  </si>
  <si>
    <t>NOC Engineer - RMS</t>
  </si>
  <si>
    <t>Ensure 90% Daily closure rate of alarms</t>
  </si>
  <si>
    <t>Reduction of Diesel Drop Alarms</t>
  </si>
  <si>
    <t>Ensure 98% Closure rate of Diesel Drop alarms</t>
  </si>
  <si>
    <t>Diesel Supply Management through RMS</t>
  </si>
  <si>
    <t>Ensure 100% Diesel Supply and Supplimentry Refs are captured with Initial and supplied volumes for all RMS connected sites</t>
  </si>
  <si>
    <t>RMS Availability</t>
  </si>
  <si>
    <t>Ensure all RMS Disconnected alarms are captured to achieve 95% Connection of all RMS Sites</t>
  </si>
  <si>
    <t>PAT00161</t>
  </si>
  <si>
    <t>GIFT MICHAEL</t>
  </si>
  <si>
    <t>PAT00118</t>
  </si>
  <si>
    <t>MATTHEW ADEBAYO</t>
  </si>
  <si>
    <t>PAT00165</t>
  </si>
  <si>
    <t>CHIOMA NWOKOLO</t>
  </si>
  <si>
    <t>PAT00042</t>
  </si>
  <si>
    <t>OBALOLUWA ADELEKE</t>
  </si>
  <si>
    <t>NOC Engineer - MTN SA</t>
  </si>
  <si>
    <t>Ensure 90% Daily closure rate of MTN tickets</t>
  </si>
  <si>
    <t>65% and above sites meeting PA &gt; 99.5% for MTN</t>
  </si>
  <si>
    <t>Ensure average fault count &lt;41</t>
  </si>
  <si>
    <t>&lt;41</t>
  </si>
  <si>
    <t>PAT00043</t>
  </si>
  <si>
    <t>OLUWASEUN AJAYI</t>
  </si>
  <si>
    <t>PAT00046</t>
  </si>
  <si>
    <t>TOLUWANIMI AKINYEMI</t>
  </si>
  <si>
    <t>PAT00210</t>
  </si>
  <si>
    <t>CHISOM NDU SARAH</t>
  </si>
  <si>
    <t>EMMANUEL ADEDAYO</t>
  </si>
  <si>
    <t>Data Analyst</t>
  </si>
  <si>
    <t>Diesel Management-Allocation</t>
  </si>
  <si>
    <t>10Days</t>
  </si>
  <si>
    <t>Ensure Diesel allocation is submitted &lt;10 Days to Supply every month</t>
  </si>
  <si>
    <t>Performance</t>
  </si>
  <si>
    <t>Data-Base Management</t>
  </si>
  <si>
    <t>Ensure Proper maintenance, updates and Bi-Weekly Circulation of Site Data base for all sites (12 Times in 6months)</t>
  </si>
  <si>
    <t>Report Automation</t>
  </si>
  <si>
    <t>Automate Minimum of 2 reports per month</t>
  </si>
  <si>
    <t>Diesel Management-Zero Diesel outage</t>
  </si>
  <si>
    <t>Ensure Max of 0.01% Contribution to PA Degradation from Diesel outage</t>
  </si>
  <si>
    <t>PAT00053</t>
  </si>
  <si>
    <t>OLUWATOBI OGUNLESI</t>
  </si>
  <si>
    <t>Communications and Admin Manager</t>
  </si>
  <si>
    <t>Ensure Efficient Office Operations and Facility Management</t>
  </si>
  <si>
    <t>Achieve 100% uptime for all critical office facilities (e.g., power, water, elevator).</t>
  </si>
  <si>
    <t>Toyosi</t>
  </si>
  <si>
    <t>Complete 100% of scheduled maintenance activities on time.</t>
  </si>
  <si>
    <t>Maintain an average office cleanliness and safety audit score of 95% or higher.</t>
  </si>
  <si>
    <t>Resolve all office-related service requests within 48 hours, 95% of the time.</t>
  </si>
  <si>
    <t>Optimize Administrative Cost and Resource Utilization</t>
  </si>
  <si>
    <t>Reduce admin-related operational costs by 10% through vendor renegotiation and waste reduction.</t>
  </si>
  <si>
    <t>Tobi/Bidemi</t>
  </si>
  <si>
    <t>Implement centralized inventory and asset tracking system covering 100% of assets by Q3.</t>
  </si>
  <si>
    <t>Tobi</t>
  </si>
  <si>
    <t>Conduct quarterly reviews to identify and eliminate non-essential admin expenditures.</t>
  </si>
  <si>
    <t>Corporate Communication Strategy</t>
  </si>
  <si>
    <t>Develop and implement a corporate communication strategy that aligns with PAT's goals</t>
  </si>
  <si>
    <t xml:space="preserve">Increase stakeholders engagment through targeted communication initiatives. </t>
  </si>
  <si>
    <t>Partner with all departments and ensure all internal company communication is driven by corporate communications</t>
  </si>
  <si>
    <t>Design a coporate communication manuel for PAT</t>
  </si>
  <si>
    <t>Enhance Employee Support Services</t>
  </si>
  <si>
    <t>Achieve at least 90% employee satisfaction on workplace support services (from internal surveys).</t>
  </si>
  <si>
    <t>Admin unit</t>
  </si>
  <si>
    <t>Reduce response time for employee logistics and admin requests to under 48 hours on average.</t>
  </si>
  <si>
    <t>Facilitate onboarding support for 100% of new hires within their three days.</t>
  </si>
  <si>
    <t>Ensure Policy Compliance and Risk Mitigation</t>
  </si>
  <si>
    <t>Ensure 100% compliance with health, safety, and environment (HSE) regulations partner with ESG.</t>
  </si>
  <si>
    <t>Design an admin standard operations policy  (SOP) for all admin functions</t>
  </si>
  <si>
    <t>Ensure 100% of admin staff are updated company policies and procedures by Q2.</t>
  </si>
  <si>
    <t>PAT00151</t>
  </si>
  <si>
    <t>MERCY OGWUCHE</t>
  </si>
  <si>
    <t>Front Desk Officer</t>
  </si>
  <si>
    <t>Deliver excellent first impressions through professional and welcoming front desk services</t>
  </si>
  <si>
    <t>Greet and attend to 100% of visitors within 2 minutes of arrival.</t>
  </si>
  <si>
    <t>Maintain a front desk service satisfaction score of at least 95% from internal staff and visitors (via periodic feedback).</t>
  </si>
  <si>
    <t>Ensure all guests are logged in and appropriately badged with 100% accuracy.</t>
  </si>
  <si>
    <t>Manage call and mail handling with high responsiveness and professionalism</t>
  </si>
  <si>
    <t>Answer 100% of incoming calls within 2 rings and log calls requiring follow-up.</t>
  </si>
  <si>
    <t>Direct 100% of calls or inquiries to the correct departments within 2 minutes.</t>
  </si>
  <si>
    <t>Log and dispatch 100% of incoming and outgoing courier and mail deliveries daily.</t>
  </si>
  <si>
    <t>Support smooth coordination and communication across departments</t>
  </si>
  <si>
    <t>Share daily internal memos or visitor schedules with 100% accuracy by 10 a.m.</t>
  </si>
  <si>
    <t>Facilitate meeting room bookings and ensure 100% room readiness for scheduled meetings.</t>
  </si>
  <si>
    <t>Maintain updated contact directories and department escalation lists with zero errors.</t>
  </si>
  <si>
    <t>Assist in at least 2 cross-functional admin or communication tasks monthly.</t>
  </si>
  <si>
    <t>Improve efficiency and appearance of the front office through proactive operations</t>
  </si>
  <si>
    <t>Conduct a daily front desk readiness checklist with 100% completion and corrective action logged.</t>
  </si>
  <si>
    <t>Maintain a front desk incident log with weekly updates submitted to the Admin Officer.</t>
  </si>
  <si>
    <t xml:space="preserve">Strengthen internal collaboration </t>
  </si>
  <si>
    <t>Achieve 100% completion rate on all assigned admin or HSE tasks.</t>
  </si>
  <si>
    <t>Assist with onboarding support for new hires (e.g., greeting, documentation handover) within 3 days of resumption.</t>
  </si>
  <si>
    <t>Maintain zero documented complaints from staff or visitors about front desk behavior or service.</t>
  </si>
  <si>
    <t>PAT00037</t>
  </si>
  <si>
    <t>GEORGE BIDEMI</t>
  </si>
  <si>
    <t>Admin Coordinator</t>
  </si>
  <si>
    <t>Optimize procurement of office supplies to reduce cost and improve efficiency</t>
  </si>
  <si>
    <t>Reduce office supply costs by 10% through vendor renegotiation and bulk purchasing by end of quarter.</t>
  </si>
  <si>
    <t>Maintain a minimum stock level for all critical office supplies with zero stockouts.</t>
  </si>
  <si>
    <t>Complete 100% of supply requests within 48 hours of approval.</t>
  </si>
  <si>
    <t>Establish a quarterly procurement review process and report supply usage trends to management.</t>
  </si>
  <si>
    <t>Implement a digital inventory system for tracking stock levels and restocking needs.</t>
  </si>
  <si>
    <t>Improve performance and accountability of office assistants and cleaning staff</t>
  </si>
  <si>
    <t>Conduct monthly performance check-ins with 100% of office assistants and cleaning staff.</t>
  </si>
  <si>
    <t>Achieve an average internal service satisfaction rating of 90% or higher from employees.</t>
  </si>
  <si>
    <t>Resolve 100% of reported service-related issues involving support staff within 24 hours.</t>
  </si>
  <si>
    <t>Maintain a clean, well-organized, and professional office environment</t>
  </si>
  <si>
    <t>Achieve a minimum office cleanliness audit score of 95% each month.</t>
  </si>
  <si>
    <t>Ensure 100% availability of cleaning materials and consumables at all duty stations.</t>
  </si>
  <si>
    <t>Improve administrative response time and service delivery to internal stakeholders</t>
  </si>
  <si>
    <t>Respond to 95% of logistics and admin-related employee requests within 24 hours.</t>
  </si>
  <si>
    <t>Automate at least 3 recurring administrative processes (e.g., supply requests, task delegation).</t>
  </si>
  <si>
    <t>PAT00011</t>
  </si>
  <si>
    <t>OMOTOYOSI FEHINTOLA</t>
  </si>
  <si>
    <t>Facility Officer</t>
  </si>
  <si>
    <t>Ensure uninterrupted operation of critical office infrastructure to support optimal productivity</t>
  </si>
  <si>
    <t>Maintain 100% uptime for all critical facilities (power, water, elevator) throughout the year.</t>
  </si>
  <si>
    <t>Respond to and resolve 100% of critical facility outages within 20 minutes of detection.</t>
  </si>
  <si>
    <t>Achieve zero reported disruptions to core operations due to facility issues.</t>
  </si>
  <si>
    <t>Improve facility management efficiency through proactive maintenance and service delivery</t>
  </si>
  <si>
    <t>Resolve 95% of facility-related service requests within 48 hours.</t>
  </si>
  <si>
    <t>Reduce emergency repair incidents by 30% compared to the previous quarter.</t>
  </si>
  <si>
    <t>Improve fleet management operations for efficiency, safety, and documentation compliance</t>
  </si>
  <si>
    <t>Maintain 100% up-to-date documentation, repair and service logs and fuel useage for all vehicles in the company fleet.</t>
  </si>
  <si>
    <t>Conduct bi-annual inspections for all vehicles and resolve identified issues within 72 hours.</t>
  </si>
  <si>
    <t>Reduce unplanned vehicle breakdowns by 25% through scheduled maintenance adherence.</t>
  </si>
  <si>
    <t>Strengthen employee satisfaction and support services through responsive facility operations</t>
  </si>
  <si>
    <t>Achieve at least 90% satisfaction score on facilities support in the annual employee survey.</t>
  </si>
  <si>
    <t>Track and reduce recurring facility complaints by 40% by end of quarter.</t>
  </si>
  <si>
    <t>Ensure full compliance with HSE standards in partnership with the ESG team</t>
  </si>
  <si>
    <t>Achieve 100% compliance in quarterly HSE audits with no major violations.</t>
  </si>
  <si>
    <t>Address all identified HSE risks within 3 working days.</t>
  </si>
  <si>
    <t>PAT00096</t>
  </si>
  <si>
    <t>KAFAYAT IBRAHIM</t>
  </si>
  <si>
    <t>Executive Assitant</t>
  </si>
  <si>
    <t>Ensure seamless support to EXCO through proactive planning, coordination, and execution</t>
  </si>
  <si>
    <t>Achieve 100% on-time delivery of EXCO meeting agendas and minutes for all scheduled sessions.</t>
  </si>
  <si>
    <t>Reduce scheduling conflicts by 80% through improved calendar and priority alignment processes.</t>
  </si>
  <si>
    <t>Achieve at least 90% positive feedback from EXCO members in quarterly support effectiveness surveys.</t>
  </si>
  <si>
    <t>Streamline expatriate processes to ensure compliance and enhance employee experience.</t>
  </si>
  <si>
    <t>Ensure 100% compliance with expatriate immigration, work permit, and renewal timelines.</t>
  </si>
  <si>
    <t>Launch and enforce an expatriate onboarding/offboarding checklist with 100% usage by HR and Admin teams.</t>
  </si>
  <si>
    <t>Achieve a 20% increase in expatriate satisfaction based on bi-annual survey feedback.</t>
  </si>
  <si>
    <t>Improve communication and follow-through on EXCO priorities and stakeholder coordination.</t>
  </si>
  <si>
    <t>Maintain 100% timely distribution of EXCO decisions and action points within 72 hours post-meeting.</t>
  </si>
  <si>
    <t>Facilitate at least 2 cross-functional planning or alignment meetings per quarter.</t>
  </si>
  <si>
    <t>Launch a monthly executive update or briefing document with at least 95% readership from target audience.</t>
  </si>
  <si>
    <t>Anticipate and address key risks in executive and expatriate administrative operations.</t>
  </si>
  <si>
    <t>Develop and maintain a 12-month executive travel and events calendar with quarterly reviews and 95% accuracy.</t>
  </si>
  <si>
    <t>Identify and document at least 3 recurring admin or expatriate support risks, with mitigation plans submitted to HR/EXCO.</t>
  </si>
  <si>
    <t>Track and resolve 100% of executive and expatriate support issues within 5 business days.</t>
  </si>
  <si>
    <t>Dept</t>
  </si>
  <si>
    <t>Nomenclature</t>
  </si>
  <si>
    <t>LOCATION</t>
  </si>
  <si>
    <t>PAT00107</t>
  </si>
  <si>
    <t>OLADIPO BADRU</t>
  </si>
  <si>
    <t>Finance</t>
  </si>
  <si>
    <t>Chief Financial Officer</t>
  </si>
  <si>
    <t>HQ</t>
  </si>
  <si>
    <t>PAT00015</t>
  </si>
  <si>
    <t>Technical (CTO)</t>
  </si>
  <si>
    <t>Commercial</t>
  </si>
  <si>
    <t>IT</t>
  </si>
  <si>
    <t>PAT00113</t>
  </si>
  <si>
    <t>Technical (DCTO Operations)</t>
  </si>
  <si>
    <t>Director Technical</t>
  </si>
  <si>
    <t>HR/Admin</t>
  </si>
  <si>
    <t>Legal</t>
  </si>
  <si>
    <t>Director of Legal</t>
  </si>
  <si>
    <t>PAT00110</t>
  </si>
  <si>
    <t>Technical (Operations)</t>
  </si>
  <si>
    <t>Head, Operations</t>
  </si>
  <si>
    <t>Senior Finance Manager</t>
  </si>
  <si>
    <t>Treasury Specialist</t>
  </si>
  <si>
    <t>Procurement</t>
  </si>
  <si>
    <t>PAT00001</t>
  </si>
  <si>
    <t>Technical (Project Deployment)</t>
  </si>
  <si>
    <t>Senior Technical Audit Advisor</t>
  </si>
  <si>
    <t>PAT00153</t>
  </si>
  <si>
    <t>MAYOWA DADA</t>
  </si>
  <si>
    <t>CEO's office (ESG)</t>
  </si>
  <si>
    <t>QMS and Compliance Specialist</t>
  </si>
  <si>
    <t>PAT00054</t>
  </si>
  <si>
    <t>Technical (DCTO Security)</t>
  </si>
  <si>
    <t>Head, Security Operations</t>
  </si>
  <si>
    <t>PAT00057</t>
  </si>
  <si>
    <t>Maintenance Support Specialist</t>
  </si>
  <si>
    <t>PAT00115</t>
  </si>
  <si>
    <t>AYOKUNLE ADENIYI</t>
  </si>
  <si>
    <t>CEO's office (Transformation)</t>
  </si>
  <si>
    <t>Business Operations Specialist</t>
  </si>
  <si>
    <t>Credit Control Specialst</t>
  </si>
  <si>
    <t>PAT00168</t>
  </si>
  <si>
    <t>Project Specialist</t>
  </si>
  <si>
    <t>PAT00025</t>
  </si>
  <si>
    <t>OPEX Specialist</t>
  </si>
  <si>
    <t>Technical (Service Assurance)</t>
  </si>
  <si>
    <t>Senior Procurement Analyst</t>
  </si>
  <si>
    <t>PAT00007</t>
  </si>
  <si>
    <t>Diesel Operations Specialist</t>
  </si>
  <si>
    <t>Legal (Site Acquisition)</t>
  </si>
  <si>
    <t>PAT00041</t>
  </si>
  <si>
    <t>RMS Engineer</t>
  </si>
  <si>
    <t>PAT00051</t>
  </si>
  <si>
    <t>Performance Lead</t>
  </si>
  <si>
    <t>PAT00016</t>
  </si>
  <si>
    <t>Technical (NOC)</t>
  </si>
  <si>
    <t>Reconcilation Officer</t>
  </si>
  <si>
    <t>OUT OF LAGOS</t>
  </si>
  <si>
    <t>PAT00105</t>
  </si>
  <si>
    <t>SUNDAY EGWUJE</t>
  </si>
  <si>
    <t>Driver</t>
  </si>
  <si>
    <t>PAT00035</t>
  </si>
  <si>
    <t>JOHN ETIDO</t>
  </si>
  <si>
    <t>PAT00142</t>
  </si>
  <si>
    <t>CHRIS NWOSU</t>
  </si>
  <si>
    <t>PAT00072</t>
  </si>
  <si>
    <t>FAITH OM</t>
  </si>
  <si>
    <t>Office Assistant</t>
  </si>
  <si>
    <t>PAT00148</t>
  </si>
  <si>
    <t>OYINKANSOLA AKINSANYA</t>
  </si>
  <si>
    <t>PAT00002</t>
  </si>
  <si>
    <t>NOC Engineer</t>
  </si>
  <si>
    <t>PAT00044</t>
  </si>
  <si>
    <t>NOC Team Lead</t>
  </si>
  <si>
    <t>PAT00045</t>
  </si>
  <si>
    <t>SME Grid Lead</t>
  </si>
  <si>
    <t>PAT00171</t>
  </si>
  <si>
    <t>Head, Service Assurance</t>
  </si>
  <si>
    <t>Head Compensation &amp; Benefits</t>
  </si>
  <si>
    <t>Operations Manager 2</t>
  </si>
  <si>
    <t>FD00053</t>
  </si>
  <si>
    <t>DARAMOLA OLATUNDE</t>
  </si>
  <si>
    <t>FD00054</t>
  </si>
  <si>
    <t>ANAS ZUBAIRU YUSUF</t>
  </si>
  <si>
    <t>PAT00208</t>
  </si>
  <si>
    <t>VERA ITODO</t>
  </si>
  <si>
    <t>Executive Assistant</t>
  </si>
  <si>
    <t>PAT00209</t>
  </si>
  <si>
    <t>PAT00211</t>
  </si>
  <si>
    <t>DONATUS AKPAN</t>
  </si>
  <si>
    <t>PAT00212</t>
  </si>
  <si>
    <t>RUSSELL OSI</t>
  </si>
  <si>
    <t>CEO's office</t>
  </si>
  <si>
    <t>Chief Executive Officer</t>
  </si>
  <si>
    <t>PAT00213</t>
  </si>
  <si>
    <t>ELIZABETH VINCENT</t>
  </si>
  <si>
    <t>PAT00214</t>
  </si>
  <si>
    <t>AYOKUNMI ADERINOYE</t>
  </si>
  <si>
    <t>Corporate Compliance Manager</t>
  </si>
  <si>
    <t>PAT00215</t>
  </si>
  <si>
    <t>SIMON ITOK</t>
  </si>
  <si>
    <t>Drive Environmental Sustainability Across PAT Operations</t>
  </si>
  <si>
    <t>Strengthen ESG Compliance and Reporting</t>
  </si>
  <si>
    <t>Build ESG Awareness and Capacity Across the Organization</t>
  </si>
  <si>
    <t>Strengthen PAT's ESG Risk Identification, Assessment, and Mitigation Framework</t>
  </si>
  <si>
    <t>Strengthen PAT’s Quality Management System (QMS)</t>
  </si>
  <si>
    <t>Achieve at least 5% reduction in GHG emissions (CO₂e) compared to the previous year.</t>
  </si>
  <si>
    <t>Ensure comletion of EIA Certificates for all PAT Sites</t>
  </si>
  <si>
    <t>Submit quarterly ESG reports to management and investors on or before due dates (100% timeliness).</t>
  </si>
  <si>
    <t>Ensure zero regulatory fines or sanctions related to ESG issues.</t>
  </si>
  <si>
    <t xml:space="preserve">Co-cordinate quarterly emergency drills and compliance with safety protocols </t>
  </si>
  <si>
    <t>Compilation of investigation reports of all (100%) accidents and follow-up on close-out of reccommendation (minimum 75%) 10%</t>
  </si>
  <si>
    <t>Conduct monthly site visitation (Minimum of 4 site visits per month) and follow through on close-out of reccommendations 10%</t>
  </si>
  <si>
    <t>Roll out 2 QMS awareness sessions for all staff by September 2025.</t>
  </si>
  <si>
    <t>Conduct quaterly ESG Awareness and sensitization sessions for contractors</t>
  </si>
  <si>
    <t>Propose and implement at least 2 process improvement initiatives by year-end based on ESG insights</t>
  </si>
  <si>
    <t xml:space="preserve">Develop and implement a formal ESG Risk Register covering environmental, social, and governance risks </t>
  </si>
  <si>
    <t>Conduct quarterly risk and oppportunities review session with all champions</t>
  </si>
  <si>
    <t>Develop PAT risk Manaement Framework and conduct bi-annual review of the plan yearly</t>
  </si>
  <si>
    <t>Achieve 100% implementation of ISO 9001:2015 requirements  by end of Q4 2025.</t>
  </si>
  <si>
    <t>I tried all my possible best to meet the expectations of the job given to me, all options of resolution were employed especially with the closure of active running tickets - calls (and follow-up calls) were made to the Huawei NOC and to their managers for the closure of the tickets. The 5-whys method were employed whenever RCAs are given to ascertain the exact root cause of a particular downtime.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</si>
</sst>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b/>
      <sz val="11"/>
      <color theme="1"/>
      <name val="Aptos Narrow"/>
      <family val="2"/>
      <scheme val="minor"/>
    </font>
    <font>
      <b/>
      <sz val="14"/>
      <color theme="5"/>
      <name val="Aptos Narrow"/>
      <family val="2"/>
      <scheme val="minor"/>
    </font>
    <font>
      <b/>
      <sz val="14"/>
      <color theme="0"/>
      <name val="Aptos Narrow"/>
      <family val="2"/>
      <scheme val="minor"/>
    </font>
    <font>
      <b/>
      <sz val="14"/>
      <color theme="1"/>
      <name val="Aptos Narrow"/>
      <family val="2"/>
      <scheme val="minor"/>
    </font>
    <font>
      <sz val="9"/>
      <color theme="1"/>
      <name val="Verdana"/>
      <family val="2"/>
    </font>
    <font>
      <sz val="11"/>
      <color rgb="FF000000"/>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sz val="11"/>
      <name val="Aptos Narrow"/>
      <family val="2"/>
      <scheme val="minor"/>
    </font>
    <font>
      <sz val="11"/>
      <color rgb="FFC00000"/>
      <name val="Aptos Narrow"/>
      <family val="2"/>
      <scheme val="minor"/>
    </font>
    <font>
      <sz val="10"/>
      <color theme="1"/>
      <name val="Aptos Narrow"/>
      <family val="2"/>
      <scheme val="minor"/>
    </font>
    <font>
      <sz val="11"/>
      <color theme="1"/>
      <name val="Aptos"/>
      <family val="2"/>
    </font>
    <font>
      <sz val="48"/>
      <color theme="1"/>
      <name val="Aptos Narrow"/>
      <family val="2"/>
      <scheme val="minor"/>
    </font>
    <font>
      <b/>
      <sz val="24"/>
      <color theme="5"/>
      <name val="Aptos Narrow"/>
      <family val="2"/>
      <scheme val="minor"/>
    </font>
    <font>
      <b/>
      <sz val="22"/>
      <color theme="1"/>
      <name val="Aptos Narrow"/>
      <family val="2"/>
      <scheme val="minor"/>
    </font>
    <font>
      <b/>
      <sz val="11"/>
      <color rgb="FF000000"/>
      <name val="Aptos Narrow"/>
      <family val="2"/>
      <scheme val="minor"/>
    </font>
  </fonts>
  <fills count="12">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0"/>
        <bgColor indexed="64"/>
      </patternFill>
    </fill>
    <fill>
      <patternFill patternType="solid">
        <fgColor rgb="FFFFC000"/>
        <bgColor indexed="64"/>
      </patternFill>
    </fill>
    <fill>
      <patternFill patternType="solid">
        <fgColor theme="5" tint="-0.249977111117893"/>
        <bgColor theme="4"/>
      </patternFill>
    </fill>
    <fill>
      <patternFill patternType="solid">
        <fgColor rgb="FFDAF2D0"/>
        <bgColor rgb="FF000000"/>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s>
  <cellStyleXfs count="3">
    <xf numFmtId="0" fontId="0" fillId="0" borderId="0"/>
    <xf numFmtId="0" fontId="5" fillId="0" borderId="0"/>
    <xf numFmtId="9" fontId="7" fillId="0" borderId="0" applyFont="0" applyFill="0" applyBorder="0" applyAlignment="0" applyProtection="0"/>
  </cellStyleXfs>
  <cellXfs count="333">
    <xf numFmtId="0" fontId="0" fillId="0" borderId="0" xfId="0"/>
    <xf numFmtId="0" fontId="0" fillId="0" borderId="2" xfId="0" applyBorder="1"/>
    <xf numFmtId="0" fontId="0" fillId="0" borderId="4" xfId="0" applyBorder="1"/>
    <xf numFmtId="0" fontId="0" fillId="0" borderId="6" xfId="0" applyBorder="1"/>
    <xf numFmtId="0" fontId="1" fillId="0" borderId="1" xfId="0" applyFont="1" applyBorder="1"/>
    <xf numFmtId="0" fontId="3" fillId="2" borderId="8" xfId="0" applyFont="1" applyFill="1" applyBorder="1"/>
    <xf numFmtId="0" fontId="3" fillId="2" borderId="9" xfId="0" applyFont="1" applyFill="1" applyBorder="1"/>
    <xf numFmtId="0" fontId="3" fillId="2" borderId="10" xfId="0" applyFont="1" applyFill="1" applyBorder="1"/>
    <xf numFmtId="0" fontId="0" fillId="0" borderId="3" xfId="0" applyBorder="1"/>
    <xf numFmtId="0" fontId="0" fillId="0" borderId="5" xfId="0" applyBorder="1"/>
    <xf numFmtId="0" fontId="3" fillId="2" borderId="8" xfId="0" applyFont="1" applyFill="1" applyBorder="1" applyAlignment="1">
      <alignment vertical="center"/>
    </xf>
    <xf numFmtId="0" fontId="0" fillId="0" borderId="1" xfId="0" applyBorder="1"/>
    <xf numFmtId="0" fontId="1" fillId="0" borderId="7" xfId="0" applyFont="1" applyBorder="1"/>
    <xf numFmtId="0" fontId="1" fillId="0" borderId="1" xfId="0" applyFont="1" applyBorder="1" applyAlignment="1">
      <alignment vertical="center" wrapText="1"/>
    </xf>
    <xf numFmtId="0" fontId="0" fillId="0" borderId="11" xfId="0" applyBorder="1"/>
    <xf numFmtId="0" fontId="2" fillId="0" borderId="3" xfId="0" applyFont="1" applyBorder="1"/>
    <xf numFmtId="0" fontId="0" fillId="0" borderId="12" xfId="0" applyBorder="1"/>
    <xf numFmtId="0" fontId="0" fillId="0" borderId="9" xfId="0" applyBorder="1" applyAlignment="1">
      <alignment horizontal="center"/>
    </xf>
    <xf numFmtId="0" fontId="0" fillId="0" borderId="10" xfId="0" applyBorder="1" applyAlignment="1">
      <alignment horizontal="center"/>
    </xf>
    <xf numFmtId="9" fontId="0" fillId="0" borderId="9" xfId="2" applyFont="1" applyBorder="1" applyAlignment="1">
      <alignment horizontal="center" vertical="center"/>
    </xf>
    <xf numFmtId="9" fontId="0" fillId="0" borderId="10" xfId="2" applyFont="1" applyBorder="1" applyAlignment="1">
      <alignment horizontal="center" vertical="center"/>
    </xf>
    <xf numFmtId="9" fontId="0" fillId="0" borderId="8" xfId="2" applyFont="1" applyBorder="1" applyAlignment="1">
      <alignment horizontal="center" vertical="center"/>
    </xf>
    <xf numFmtId="9" fontId="0" fillId="0" borderId="4" xfId="0" applyNumberFormat="1" applyBorder="1" applyAlignment="1">
      <alignment horizontal="center"/>
    </xf>
    <xf numFmtId="0" fontId="8" fillId="0" borderId="0" xfId="0" applyFont="1"/>
    <xf numFmtId="0" fontId="0" fillId="0" borderId="0" xfId="0" applyAlignment="1">
      <alignment horizontal="left"/>
    </xf>
    <xf numFmtId="9" fontId="0" fillId="0" borderId="0" xfId="2" applyFont="1" applyFill="1" applyBorder="1" applyAlignment="1">
      <alignment horizontal="center"/>
    </xf>
    <xf numFmtId="0" fontId="0" fillId="0" borderId="0" xfId="2" applyNumberFormat="1" applyFont="1" applyFill="1" applyBorder="1" applyAlignment="1">
      <alignment horizontal="center"/>
    </xf>
    <xf numFmtId="164" fontId="0" fillId="0" borderId="0" xfId="2" applyNumberFormat="1" applyFont="1" applyFill="1" applyBorder="1" applyAlignment="1">
      <alignment horizontal="center"/>
    </xf>
    <xf numFmtId="0" fontId="10" fillId="0" borderId="0" xfId="0" applyFont="1" applyAlignment="1">
      <alignment horizontal="left"/>
    </xf>
    <xf numFmtId="0" fontId="0" fillId="0" borderId="0" xfId="0" applyAlignment="1">
      <alignment vertical="top"/>
    </xf>
    <xf numFmtId="0" fontId="0" fillId="0" borderId="0" xfId="0" applyAlignment="1">
      <alignment wrapText="1"/>
    </xf>
    <xf numFmtId="9" fontId="0" fillId="0" borderId="0" xfId="2" applyFont="1" applyFill="1" applyBorder="1" applyAlignment="1">
      <alignment horizontal="center" vertical="center"/>
    </xf>
    <xf numFmtId="0" fontId="0" fillId="0" borderId="0" xfId="0" applyAlignment="1">
      <alignment horizontal="left" vertical="center" wrapText="1"/>
    </xf>
    <xf numFmtId="0" fontId="0" fillId="0" borderId="0" xfId="1" applyFont="1"/>
    <xf numFmtId="9" fontId="0" fillId="0" borderId="0" xfId="0" applyNumberFormat="1" applyAlignment="1">
      <alignment horizontal="center" vertical="center"/>
    </xf>
    <xf numFmtId="0" fontId="0" fillId="0" borderId="0" xfId="0" applyAlignment="1">
      <alignment horizontal="center"/>
    </xf>
    <xf numFmtId="0" fontId="10" fillId="0" borderId="0" xfId="0" applyFont="1"/>
    <xf numFmtId="10" fontId="0" fillId="0" borderId="0" xfId="0" applyNumberFormat="1" applyAlignment="1">
      <alignment horizontal="center"/>
    </xf>
    <xf numFmtId="0" fontId="0" fillId="0" borderId="0" xfId="0" applyAlignment="1">
      <alignment vertical="center"/>
    </xf>
    <xf numFmtId="9" fontId="0" fillId="0" borderId="0" xfId="0" applyNumberFormat="1" applyAlignment="1">
      <alignment horizontal="center"/>
    </xf>
    <xf numFmtId="0" fontId="0" fillId="0" borderId="0" xfId="0" applyAlignment="1">
      <alignment horizontal="left" vertical="center"/>
    </xf>
    <xf numFmtId="9" fontId="0" fillId="0" borderId="0" xfId="2" applyFont="1" applyFill="1" applyBorder="1"/>
    <xf numFmtId="9" fontId="0" fillId="0" borderId="0" xfId="0" applyNumberFormat="1"/>
    <xf numFmtId="164" fontId="0" fillId="0" borderId="0" xfId="2" applyNumberFormat="1" applyFont="1" applyFill="1" applyBorder="1" applyAlignment="1">
      <alignment horizontal="center" vertical="center"/>
    </xf>
    <xf numFmtId="0" fontId="0" fillId="0" borderId="0" xfId="0" applyAlignment="1">
      <alignment horizontal="left" wrapText="1"/>
    </xf>
    <xf numFmtId="0" fontId="0" fillId="0" borderId="0" xfId="0" quotePrefix="1" applyAlignment="1">
      <alignment horizontal="left"/>
    </xf>
    <xf numFmtId="164" fontId="0" fillId="0" borderId="0" xfId="2" applyNumberFormat="1" applyFont="1" applyFill="1" applyBorder="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2" fontId="0" fillId="0" borderId="0" xfId="2" applyNumberFormat="1" applyFont="1" applyFill="1" applyBorder="1" applyAlignment="1">
      <alignment horizontal="center"/>
    </xf>
    <xf numFmtId="0" fontId="11" fillId="0" borderId="0" xfId="0" applyFont="1"/>
    <xf numFmtId="0" fontId="0" fillId="0" borderId="0" xfId="1" applyFont="1" applyAlignment="1">
      <alignment horizontal="left" vertical="top" wrapText="1"/>
    </xf>
    <xf numFmtId="9" fontId="0" fillId="0" borderId="0" xfId="2" applyFont="1" applyFill="1" applyBorder="1" applyAlignment="1">
      <alignment horizontal="center" vertical="center" wrapText="1"/>
    </xf>
    <xf numFmtId="0" fontId="0" fillId="0" borderId="0" xfId="1" applyFont="1" applyAlignment="1">
      <alignment horizontal="left" vertical="top"/>
    </xf>
    <xf numFmtId="0" fontId="0" fillId="0" borderId="0" xfId="1" applyFont="1" applyAlignment="1">
      <alignment vertical="top" wrapText="1"/>
    </xf>
    <xf numFmtId="0" fontId="0" fillId="0" borderId="0" xfId="1" applyFont="1" applyAlignment="1">
      <alignment vertical="top"/>
    </xf>
    <xf numFmtId="0" fontId="10" fillId="0" borderId="0" xfId="1" applyFont="1" applyAlignment="1">
      <alignment vertical="top" wrapText="1"/>
    </xf>
    <xf numFmtId="9" fontId="10" fillId="0" borderId="0" xfId="2" applyFont="1" applyFill="1" applyBorder="1" applyAlignment="1">
      <alignment horizontal="center" vertical="center"/>
    </xf>
    <xf numFmtId="0" fontId="10" fillId="0" borderId="0" xfId="1" applyFont="1" applyAlignment="1">
      <alignment vertical="top"/>
    </xf>
    <xf numFmtId="9" fontId="0" fillId="0" borderId="0" xfId="0" quotePrefix="1" applyNumberFormat="1" applyAlignment="1">
      <alignment horizontal="center" vertical="center"/>
    </xf>
    <xf numFmtId="0" fontId="10" fillId="0" borderId="0" xfId="1" applyFont="1" applyAlignment="1">
      <alignment horizontal="left" vertical="center"/>
    </xf>
    <xf numFmtId="9" fontId="10" fillId="0" borderId="0" xfId="2" applyFont="1" applyFill="1" applyBorder="1" applyAlignment="1">
      <alignment horizontal="center" vertical="center" wrapText="1"/>
    </xf>
    <xf numFmtId="0" fontId="0" fillId="0" borderId="0" xfId="1" applyFont="1" applyAlignment="1">
      <alignment wrapText="1"/>
    </xf>
    <xf numFmtId="0" fontId="11" fillId="0" borderId="0" xfId="0" applyFont="1" applyAlignment="1">
      <alignment vertical="center"/>
    </xf>
    <xf numFmtId="9" fontId="6" fillId="0" borderId="0" xfId="0" applyNumberFormat="1" applyFont="1" applyAlignment="1">
      <alignment horizontal="center" vertical="center"/>
    </xf>
    <xf numFmtId="9" fontId="0" fillId="0" borderId="0" xfId="2" applyFont="1" applyFill="1" applyBorder="1" applyAlignment="1">
      <alignment horizontal="center" vertical="top"/>
    </xf>
    <xf numFmtId="9" fontId="10" fillId="0" borderId="0" xfId="2" applyFont="1" applyFill="1" applyBorder="1" applyAlignment="1">
      <alignment horizontal="center" vertical="top"/>
    </xf>
    <xf numFmtId="9" fontId="6" fillId="0" borderId="0" xfId="2" applyFont="1" applyFill="1" applyBorder="1" applyAlignment="1">
      <alignment horizontal="center" vertical="center" wrapText="1"/>
    </xf>
    <xf numFmtId="9" fontId="0" fillId="0" borderId="0" xfId="2" applyFont="1" applyFill="1" applyBorder="1" applyAlignment="1">
      <alignment wrapText="1"/>
    </xf>
    <xf numFmtId="9" fontId="0" fillId="0" borderId="0" xfId="2" applyFont="1" applyFill="1" applyBorder="1" applyAlignment="1"/>
    <xf numFmtId="9" fontId="0" fillId="0" borderId="0" xfId="2" applyFont="1" applyFill="1" applyBorder="1" applyAlignment="1">
      <alignment horizontal="left" vertical="center" wrapText="1" readingOrder="1"/>
    </xf>
    <xf numFmtId="9" fontId="0" fillId="0" borderId="0" xfId="2" applyFont="1" applyFill="1" applyBorder="1" applyAlignment="1">
      <alignment horizontal="left" vertical="center" readingOrder="1"/>
    </xf>
    <xf numFmtId="0" fontId="7" fillId="0" borderId="0" xfId="1" applyFont="1"/>
    <xf numFmtId="0" fontId="9" fillId="0" borderId="0" xfId="1" applyFont="1"/>
    <xf numFmtId="0" fontId="7" fillId="0" borderId="0" xfId="0" applyFont="1"/>
    <xf numFmtId="0" fontId="9" fillId="0" borderId="0" xfId="0" applyFont="1"/>
    <xf numFmtId="0" fontId="0" fillId="0" borderId="0" xfId="1" applyFont="1" applyAlignment="1">
      <alignment vertical="center" wrapText="1"/>
    </xf>
    <xf numFmtId="9" fontId="0" fillId="0" borderId="0" xfId="0" applyNumberFormat="1" applyAlignment="1">
      <alignment horizontal="center" vertical="center" wrapText="1"/>
    </xf>
    <xf numFmtId="0" fontId="0" fillId="0" borderId="0" xfId="1" applyFont="1" applyAlignment="1">
      <alignment vertical="center"/>
    </xf>
    <xf numFmtId="0" fontId="10" fillId="0" borderId="0" xfId="1" applyFont="1" applyAlignment="1">
      <alignment vertical="center" wrapText="1"/>
    </xf>
    <xf numFmtId="0" fontId="10" fillId="0" borderId="0" xfId="1" applyFont="1" applyAlignment="1">
      <alignment vertical="center"/>
    </xf>
    <xf numFmtId="9" fontId="0" fillId="0" borderId="0" xfId="2" applyFont="1" applyFill="1" applyBorder="1" applyAlignment="1">
      <alignment vertical="center" wrapText="1"/>
    </xf>
    <xf numFmtId="9" fontId="0" fillId="0" borderId="0" xfId="2" applyFont="1" applyFill="1" applyBorder="1" applyAlignment="1">
      <alignment vertical="center"/>
    </xf>
    <xf numFmtId="9" fontId="0" fillId="0" borderId="0" xfId="2" applyFont="1" applyFill="1" applyBorder="1" applyAlignment="1">
      <alignment horizontal="left" vertical="center" wrapText="1"/>
    </xf>
    <xf numFmtId="1" fontId="0" fillId="0" borderId="0" xfId="0" applyNumberFormat="1" applyAlignment="1">
      <alignment horizontal="center" vertical="center" wrapText="1"/>
    </xf>
    <xf numFmtId="0" fontId="0" fillId="0" borderId="0" xfId="0" applyAlignment="1">
      <alignment vertical="center" wrapText="1"/>
    </xf>
    <xf numFmtId="9" fontId="0" fillId="0" borderId="0" xfId="2" applyFont="1" applyFill="1" applyBorder="1" applyAlignment="1">
      <alignment horizontal="left" vertical="center"/>
    </xf>
    <xf numFmtId="1" fontId="0" fillId="0" borderId="0" xfId="2" applyNumberFormat="1" applyFont="1" applyFill="1" applyBorder="1" applyAlignment="1">
      <alignment horizontal="center" vertical="center"/>
    </xf>
    <xf numFmtId="0" fontId="0" fillId="0" borderId="0" xfId="1" applyFont="1" applyAlignment="1">
      <alignment horizontal="center" vertical="center" wrapText="1"/>
    </xf>
    <xf numFmtId="0" fontId="12" fillId="0" borderId="0" xfId="0" applyFont="1"/>
    <xf numFmtId="0" fontId="0" fillId="0" borderId="0" xfId="0" applyAlignment="1">
      <alignment horizontal="center" vertical="center"/>
    </xf>
    <xf numFmtId="10" fontId="0" fillId="0" borderId="0" xfId="0" applyNumberFormat="1" applyAlignment="1">
      <alignment horizontal="center" vertical="center" wrapText="1"/>
    </xf>
    <xf numFmtId="0" fontId="12" fillId="0" borderId="0" xfId="0" applyFont="1" applyAlignment="1">
      <alignment horizontal="left"/>
    </xf>
    <xf numFmtId="0" fontId="12" fillId="0" borderId="0" xfId="0" quotePrefix="1" applyFont="1" applyAlignment="1">
      <alignment horizontal="left"/>
    </xf>
    <xf numFmtId="164" fontId="0" fillId="0" borderId="0" xfId="0" applyNumberFormat="1" applyAlignment="1">
      <alignment horizontal="center"/>
    </xf>
    <xf numFmtId="0" fontId="13" fillId="0" borderId="0" xfId="0" applyFont="1" applyAlignment="1">
      <alignment vertical="center" wrapText="1"/>
    </xf>
    <xf numFmtId="9" fontId="13" fillId="0" borderId="0" xfId="2" applyFont="1" applyFill="1" applyBorder="1" applyAlignment="1">
      <alignment vertical="center" wrapText="1"/>
    </xf>
    <xf numFmtId="9" fontId="0" fillId="0" borderId="0" xfId="0" applyNumberFormat="1" applyAlignment="1">
      <alignment vertical="center"/>
    </xf>
    <xf numFmtId="164" fontId="0" fillId="0" borderId="0" xfId="2" applyNumberFormat="1" applyFont="1" applyFill="1" applyBorder="1" applyAlignment="1">
      <alignment vertical="center" wrapText="1"/>
    </xf>
    <xf numFmtId="0" fontId="10" fillId="0" borderId="0" xfId="0" applyFont="1" applyAlignment="1">
      <alignment vertical="center" wrapText="1"/>
    </xf>
    <xf numFmtId="164" fontId="10" fillId="0" borderId="0" xfId="2" applyNumberFormat="1" applyFont="1" applyFill="1" applyBorder="1" applyAlignment="1">
      <alignment vertical="center" wrapText="1"/>
    </xf>
    <xf numFmtId="164" fontId="0" fillId="0" borderId="0" xfId="2" applyNumberFormat="1" applyFont="1" applyFill="1" applyBorder="1" applyAlignment="1">
      <alignment vertical="center"/>
    </xf>
    <xf numFmtId="9" fontId="0" fillId="0" borderId="0" xfId="0" applyNumberFormat="1" applyAlignment="1">
      <alignment vertical="center" wrapText="1"/>
    </xf>
    <xf numFmtId="9" fontId="1" fillId="0" borderId="14" xfId="0" applyNumberFormat="1" applyFont="1" applyBorder="1"/>
    <xf numFmtId="9" fontId="14" fillId="0" borderId="7" xfId="2" applyFont="1" applyBorder="1" applyAlignment="1">
      <alignment horizontal="center" vertical="center"/>
    </xf>
    <xf numFmtId="0" fontId="1" fillId="3" borderId="7" xfId="0" applyFont="1" applyFill="1" applyBorder="1" applyAlignment="1">
      <alignment horizontal="center" vertical="center"/>
    </xf>
    <xf numFmtId="0" fontId="15" fillId="0" borderId="1" xfId="0" applyFont="1" applyBorder="1" applyAlignment="1">
      <alignment horizontal="center" vertical="center"/>
    </xf>
    <xf numFmtId="0" fontId="1" fillId="0" borderId="8" xfId="0" applyFont="1" applyBorder="1" applyAlignment="1">
      <alignment vertical="center" wrapText="1"/>
    </xf>
    <xf numFmtId="9" fontId="0" fillId="0" borderId="15" xfId="2" applyFont="1" applyBorder="1" applyAlignment="1">
      <alignment horizontal="center"/>
    </xf>
    <xf numFmtId="9" fontId="0" fillId="0" borderId="3" xfId="2" applyFont="1" applyBorder="1" applyAlignment="1">
      <alignment horizontal="center"/>
    </xf>
    <xf numFmtId="9" fontId="0" fillId="0" borderId="5" xfId="2" applyFont="1" applyBorder="1" applyAlignment="1">
      <alignment horizontal="center"/>
    </xf>
    <xf numFmtId="9" fontId="1" fillId="0" borderId="5" xfId="0" applyNumberFormat="1" applyFont="1" applyBorder="1"/>
    <xf numFmtId="9" fontId="1" fillId="0" borderId="10" xfId="0" applyNumberFormat="1" applyFont="1" applyBorder="1"/>
    <xf numFmtId="0" fontId="0" fillId="4" borderId="15" xfId="0" applyFill="1" applyBorder="1" applyAlignment="1" applyProtection="1">
      <alignment horizontal="center"/>
      <protection locked="0"/>
    </xf>
    <xf numFmtId="0" fontId="0" fillId="4" borderId="3" xfId="0" applyFill="1" applyBorder="1" applyAlignment="1" applyProtection="1">
      <alignment horizontal="center"/>
      <protection locked="0"/>
    </xf>
    <xf numFmtId="0" fontId="0" fillId="4" borderId="5" xfId="0" applyFill="1" applyBorder="1" applyAlignment="1" applyProtection="1">
      <alignment horizontal="center"/>
      <protection locked="0"/>
    </xf>
    <xf numFmtId="0" fontId="0" fillId="4" borderId="8" xfId="0" applyFill="1" applyBorder="1" applyAlignment="1" applyProtection="1">
      <alignment horizontal="center"/>
      <protection locked="0"/>
    </xf>
    <xf numFmtId="0" fontId="0" fillId="4" borderId="9" xfId="0" applyFill="1" applyBorder="1" applyAlignment="1" applyProtection="1">
      <alignment horizontal="center"/>
      <protection locked="0"/>
    </xf>
    <xf numFmtId="0" fontId="0" fillId="4" borderId="10" xfId="0" applyFill="1" applyBorder="1" applyAlignment="1" applyProtection="1">
      <alignment horizontal="center"/>
      <protection locked="0"/>
    </xf>
    <xf numFmtId="0" fontId="0" fillId="4" borderId="7" xfId="0" applyFill="1" applyBorder="1" applyProtection="1">
      <protection locked="0"/>
    </xf>
    <xf numFmtId="0" fontId="1" fillId="0" borderId="8" xfId="0" applyFont="1" applyBorder="1"/>
    <xf numFmtId="0" fontId="1" fillId="0" borderId="8" xfId="0" applyFont="1" applyBorder="1" applyAlignment="1">
      <alignment horizontal="center"/>
    </xf>
    <xf numFmtId="0" fontId="1" fillId="0" borderId="9" xfId="0" applyFont="1" applyBorder="1"/>
    <xf numFmtId="0" fontId="1" fillId="0" borderId="9" xfId="0" applyFont="1" applyBorder="1" applyAlignment="1">
      <alignment horizontal="center"/>
    </xf>
    <xf numFmtId="0" fontId="1" fillId="0" borderId="10" xfId="0" applyFont="1" applyBorder="1"/>
    <xf numFmtId="0" fontId="1" fillId="0" borderId="10" xfId="0" applyFont="1" applyBorder="1" applyAlignment="1">
      <alignment horizontal="center"/>
    </xf>
    <xf numFmtId="0" fontId="0" fillId="5" borderId="0" xfId="0" applyFill="1"/>
    <xf numFmtId="0" fontId="1" fillId="0" borderId="8" xfId="0" applyFont="1" applyBorder="1" applyAlignment="1">
      <alignment horizontal="center" vertical="center" wrapText="1"/>
    </xf>
    <xf numFmtId="9" fontId="1" fillId="0" borderId="6" xfId="0" applyNumberFormat="1" applyFont="1" applyBorder="1" applyAlignment="1">
      <alignment horizontal="center"/>
    </xf>
    <xf numFmtId="0" fontId="1" fillId="0" borderId="0" xfId="0" applyFont="1"/>
    <xf numFmtId="0" fontId="1" fillId="0" borderId="0" xfId="0" applyFont="1" applyAlignment="1">
      <alignment horizontal="center"/>
    </xf>
    <xf numFmtId="0" fontId="16" fillId="0" borderId="1" xfId="0" applyFont="1" applyBorder="1" applyAlignment="1">
      <alignment horizontal="center" vertical="center"/>
    </xf>
    <xf numFmtId="0" fontId="4" fillId="0" borderId="1" xfId="0" applyFont="1" applyBorder="1" applyAlignment="1">
      <alignment horizontal="left" vertical="center"/>
    </xf>
    <xf numFmtId="0" fontId="8" fillId="6" borderId="13" xfId="0" applyFont="1" applyFill="1" applyBorder="1"/>
    <xf numFmtId="0" fontId="0" fillId="7" borderId="13" xfId="0" applyFill="1" applyBorder="1" applyAlignment="1">
      <alignment horizontal="left"/>
    </xf>
    <xf numFmtId="0" fontId="0" fillId="7" borderId="13" xfId="0" applyFill="1" applyBorder="1"/>
    <xf numFmtId="0" fontId="0" fillId="7" borderId="13" xfId="0" applyFill="1" applyBorder="1" applyAlignment="1">
      <alignment horizontal="left" vertical="center" wrapText="1"/>
    </xf>
    <xf numFmtId="0" fontId="0" fillId="7" borderId="13" xfId="0" applyFill="1" applyBorder="1" applyAlignment="1">
      <alignment vertical="center" wrapText="1"/>
    </xf>
    <xf numFmtId="9" fontId="0" fillId="7" borderId="13" xfId="2" applyFont="1" applyFill="1" applyBorder="1" applyAlignment="1">
      <alignment horizontal="center"/>
    </xf>
    <xf numFmtId="0" fontId="0" fillId="7" borderId="13" xfId="2" applyNumberFormat="1" applyFont="1" applyFill="1" applyBorder="1" applyAlignment="1">
      <alignment horizontal="center"/>
    </xf>
    <xf numFmtId="9" fontId="0" fillId="7" borderId="13" xfId="2" applyFont="1" applyFill="1" applyBorder="1" applyAlignment="1">
      <alignment horizontal="center" vertical="center"/>
    </xf>
    <xf numFmtId="9" fontId="0" fillId="7" borderId="13" xfId="2" applyFont="1" applyFill="1" applyBorder="1" applyAlignment="1">
      <alignment horizontal="left" vertical="center" wrapText="1"/>
    </xf>
    <xf numFmtId="9" fontId="0" fillId="7" borderId="13" xfId="2" applyFont="1" applyFill="1" applyBorder="1" applyAlignment="1">
      <alignment vertical="center" wrapText="1"/>
    </xf>
    <xf numFmtId="0" fontId="0" fillId="0" borderId="13" xfId="0" applyBorder="1" applyAlignment="1">
      <alignment horizontal="left"/>
    </xf>
    <xf numFmtId="0" fontId="0" fillId="0" borderId="13" xfId="0" applyBorder="1"/>
    <xf numFmtId="0" fontId="0" fillId="0" borderId="13" xfId="0" applyBorder="1" applyAlignment="1">
      <alignment horizontal="left" vertical="center" wrapText="1"/>
    </xf>
    <xf numFmtId="0" fontId="0" fillId="0" borderId="13" xfId="0" applyBorder="1" applyAlignment="1">
      <alignment vertical="center" wrapText="1"/>
    </xf>
    <xf numFmtId="9" fontId="0" fillId="0" borderId="13" xfId="2" applyFont="1" applyBorder="1" applyAlignment="1">
      <alignment horizontal="center"/>
    </xf>
    <xf numFmtId="0" fontId="0" fillId="0" borderId="13" xfId="2" applyNumberFormat="1" applyFont="1" applyBorder="1" applyAlignment="1">
      <alignment horizontal="center"/>
    </xf>
    <xf numFmtId="9" fontId="0" fillId="0" borderId="13" xfId="2" applyFont="1" applyBorder="1" applyAlignment="1">
      <alignment horizontal="center" vertical="center"/>
    </xf>
    <xf numFmtId="9" fontId="0" fillId="0" borderId="13" xfId="2" applyFont="1" applyFill="1" applyBorder="1" applyAlignment="1">
      <alignment horizontal="left" vertical="center" wrapText="1"/>
    </xf>
    <xf numFmtId="9" fontId="0" fillId="0" borderId="13" xfId="2" applyFont="1" applyFill="1" applyBorder="1" applyAlignment="1">
      <alignment vertical="center" wrapText="1"/>
    </xf>
    <xf numFmtId="9" fontId="0" fillId="0" borderId="13" xfId="2" applyFont="1" applyFill="1" applyBorder="1" applyAlignment="1">
      <alignment horizontal="center" vertical="center"/>
    </xf>
    <xf numFmtId="9" fontId="0" fillId="0" borderId="13" xfId="2" applyFont="1" applyBorder="1" applyAlignment="1">
      <alignment vertical="center" wrapText="1"/>
    </xf>
    <xf numFmtId="164" fontId="0" fillId="0" borderId="13" xfId="2" applyNumberFormat="1" applyFont="1" applyBorder="1" applyAlignment="1">
      <alignment horizontal="center"/>
    </xf>
    <xf numFmtId="0" fontId="10" fillId="0" borderId="13" xfId="0" applyFont="1" applyBorder="1" applyAlignment="1">
      <alignment horizontal="left"/>
    </xf>
    <xf numFmtId="0" fontId="10" fillId="7" borderId="13" xfId="0" applyFont="1" applyFill="1" applyBorder="1" applyAlignment="1">
      <alignment horizontal="left"/>
    </xf>
    <xf numFmtId="0" fontId="0" fillId="7" borderId="13" xfId="0" applyFill="1" applyBorder="1" applyAlignment="1">
      <alignment vertical="top"/>
    </xf>
    <xf numFmtId="0" fontId="0" fillId="7" borderId="13" xfId="0" applyFill="1" applyBorder="1" applyAlignment="1">
      <alignment wrapText="1"/>
    </xf>
    <xf numFmtId="0" fontId="0" fillId="0" borderId="13" xfId="1" applyFont="1" applyBorder="1"/>
    <xf numFmtId="0" fontId="10" fillId="8" borderId="13" xfId="0" applyFont="1" applyFill="1" applyBorder="1" applyAlignment="1">
      <alignment horizontal="left"/>
    </xf>
    <xf numFmtId="0" fontId="0" fillId="0" borderId="13" xfId="0" applyBorder="1" applyAlignment="1">
      <alignment wrapText="1"/>
    </xf>
    <xf numFmtId="9" fontId="0" fillId="7" borderId="13" xfId="0" applyNumberFormat="1" applyFill="1" applyBorder="1" applyAlignment="1">
      <alignment horizontal="center" vertical="center"/>
    </xf>
    <xf numFmtId="164" fontId="0" fillId="7" borderId="13" xfId="2" applyNumberFormat="1" applyFont="1" applyFill="1" applyBorder="1" applyAlignment="1">
      <alignment horizontal="center"/>
    </xf>
    <xf numFmtId="0" fontId="0" fillId="7" borderId="13" xfId="0" applyFill="1" applyBorder="1" applyAlignment="1">
      <alignment horizontal="center"/>
    </xf>
    <xf numFmtId="0" fontId="10" fillId="7" borderId="13" xfId="0" applyFont="1" applyFill="1" applyBorder="1"/>
    <xf numFmtId="10" fontId="0" fillId="7" borderId="13" xfId="0" applyNumberFormat="1" applyFill="1" applyBorder="1" applyAlignment="1">
      <alignment horizontal="center"/>
    </xf>
    <xf numFmtId="0" fontId="0" fillId="7" borderId="13" xfId="0" applyFill="1" applyBorder="1" applyAlignment="1">
      <alignment vertical="center"/>
    </xf>
    <xf numFmtId="9" fontId="0" fillId="7" borderId="13" xfId="0" applyNumberFormat="1" applyFill="1" applyBorder="1" applyAlignment="1">
      <alignment horizontal="center"/>
    </xf>
    <xf numFmtId="0" fontId="0" fillId="0" borderId="13" xfId="0" applyBorder="1" applyAlignment="1">
      <alignment horizontal="center"/>
    </xf>
    <xf numFmtId="0" fontId="10" fillId="0" borderId="13" xfId="0" applyFont="1" applyBorder="1"/>
    <xf numFmtId="10" fontId="0" fillId="0" borderId="13" xfId="0" applyNumberFormat="1" applyBorder="1" applyAlignment="1">
      <alignment horizontal="center"/>
    </xf>
    <xf numFmtId="0" fontId="0" fillId="0" borderId="13" xfId="0" applyBorder="1" applyAlignment="1">
      <alignment vertical="center"/>
    </xf>
    <xf numFmtId="9" fontId="0" fillId="0" borderId="13" xfId="0" applyNumberFormat="1" applyBorder="1" applyAlignment="1">
      <alignment horizontal="center"/>
    </xf>
    <xf numFmtId="0" fontId="0" fillId="8" borderId="13" xfId="0" applyFill="1" applyBorder="1"/>
    <xf numFmtId="0" fontId="0" fillId="7" borderId="13" xfId="0" applyFill="1" applyBorder="1" applyAlignment="1">
      <alignment horizontal="left" vertical="center"/>
    </xf>
    <xf numFmtId="9" fontId="0" fillId="7" borderId="13" xfId="2" applyFont="1" applyFill="1" applyBorder="1"/>
    <xf numFmtId="9" fontId="0" fillId="7" borderId="13" xfId="0" applyNumberFormat="1" applyFill="1" applyBorder="1"/>
    <xf numFmtId="9" fontId="0" fillId="0" borderId="13" xfId="2" applyFont="1" applyBorder="1"/>
    <xf numFmtId="9" fontId="0" fillId="0" borderId="13" xfId="2" applyFont="1" applyFill="1" applyBorder="1" applyAlignment="1">
      <alignment horizontal="center"/>
    </xf>
    <xf numFmtId="9" fontId="0" fillId="0" borderId="13" xfId="2" applyFont="1" applyFill="1" applyBorder="1"/>
    <xf numFmtId="9" fontId="0" fillId="0" borderId="13" xfId="0" applyNumberFormat="1" applyBorder="1"/>
    <xf numFmtId="9" fontId="0" fillId="7" borderId="13" xfId="0" applyNumberFormat="1" applyFill="1" applyBorder="1" applyAlignment="1">
      <alignment horizontal="center" vertical="center" wrapText="1"/>
    </xf>
    <xf numFmtId="9" fontId="0" fillId="7" borderId="13" xfId="2" applyFont="1" applyFill="1" applyBorder="1" applyAlignment="1">
      <alignment horizontal="center" vertical="center" wrapText="1"/>
    </xf>
    <xf numFmtId="164" fontId="0" fillId="7" borderId="13" xfId="2" applyNumberFormat="1" applyFont="1" applyFill="1" applyBorder="1" applyAlignment="1">
      <alignment horizontal="center" vertical="center"/>
    </xf>
    <xf numFmtId="9" fontId="0" fillId="8" borderId="13" xfId="2" applyFont="1" applyFill="1" applyBorder="1" applyAlignment="1">
      <alignment horizontal="center" vertical="center"/>
    </xf>
    <xf numFmtId="0" fontId="0" fillId="8" borderId="13" xfId="0" applyFill="1" applyBorder="1" applyAlignment="1">
      <alignment wrapText="1"/>
    </xf>
    <xf numFmtId="0" fontId="0" fillId="0" borderId="13" xfId="0" applyBorder="1" applyAlignment="1">
      <alignment horizontal="left" wrapText="1"/>
    </xf>
    <xf numFmtId="0" fontId="0" fillId="8" borderId="13" xfId="0" quotePrefix="1" applyFill="1" applyBorder="1" applyAlignment="1">
      <alignment horizontal="left"/>
    </xf>
    <xf numFmtId="164" fontId="0" fillId="7" borderId="13" xfId="2" applyNumberFormat="1" applyFont="1" applyFill="1" applyBorder="1" applyAlignment="1">
      <alignment horizontal="center" vertical="center" wrapText="1"/>
    </xf>
    <xf numFmtId="164" fontId="0" fillId="0" borderId="13" xfId="2" applyNumberFormat="1" applyFont="1" applyBorder="1" applyAlignment="1">
      <alignment horizontal="center" vertical="center" wrapText="1"/>
    </xf>
    <xf numFmtId="164" fontId="0" fillId="0" borderId="13" xfId="2" applyNumberFormat="1" applyFont="1" applyBorder="1" applyAlignment="1">
      <alignment horizontal="center" vertical="center"/>
    </xf>
    <xf numFmtId="0" fontId="10" fillId="8" borderId="13" xfId="0" applyFont="1" applyFill="1" applyBorder="1"/>
    <xf numFmtId="0" fontId="0" fillId="0" borderId="13" xfId="0" applyBorder="1" applyAlignment="1">
      <alignment horizontal="left" vertical="center"/>
    </xf>
    <xf numFmtId="164" fontId="0" fillId="0" borderId="13" xfId="2" applyNumberFormat="1" applyFont="1" applyFill="1" applyBorder="1" applyAlignment="1">
      <alignment horizontal="center" vertical="center" wrapText="1"/>
    </xf>
    <xf numFmtId="164" fontId="0" fillId="0" borderId="13" xfId="2" applyNumberFormat="1" applyFont="1" applyFill="1" applyBorder="1" applyAlignment="1">
      <alignment horizontal="center" vertical="center"/>
    </xf>
    <xf numFmtId="0" fontId="6" fillId="7" borderId="13" xfId="0" applyFont="1" applyFill="1" applyBorder="1" applyAlignment="1">
      <alignment horizontal="left" vertical="center" wrapText="1"/>
    </xf>
    <xf numFmtId="0" fontId="6" fillId="7" borderId="13" xfId="0" applyFont="1" applyFill="1" applyBorder="1" applyAlignment="1">
      <alignment horizontal="left" vertical="center"/>
    </xf>
    <xf numFmtId="0" fontId="0" fillId="0" borderId="13" xfId="0" quotePrefix="1" applyBorder="1" applyAlignment="1">
      <alignment horizontal="left"/>
    </xf>
    <xf numFmtId="0" fontId="0" fillId="7" borderId="13" xfId="1" applyFont="1" applyFill="1" applyBorder="1"/>
    <xf numFmtId="0" fontId="10" fillId="7" borderId="13" xfId="0" applyFont="1" applyFill="1" applyBorder="1" applyAlignment="1">
      <alignment vertical="center" wrapText="1"/>
    </xf>
    <xf numFmtId="2" fontId="0" fillId="7" borderId="13" xfId="2" applyNumberFormat="1" applyFont="1" applyFill="1" applyBorder="1" applyAlignment="1">
      <alignment horizontal="center"/>
    </xf>
    <xf numFmtId="0" fontId="11" fillId="7" borderId="13" xfId="0" applyFont="1" applyFill="1" applyBorder="1"/>
    <xf numFmtId="0" fontId="0" fillId="7" borderId="13" xfId="1" applyFont="1" applyFill="1" applyBorder="1" applyAlignment="1">
      <alignment horizontal="left" vertical="top" wrapText="1"/>
    </xf>
    <xf numFmtId="0" fontId="0" fillId="7" borderId="13" xfId="1" applyFont="1" applyFill="1" applyBorder="1" applyAlignment="1">
      <alignment horizontal="left" vertical="top"/>
    </xf>
    <xf numFmtId="0" fontId="0" fillId="7" borderId="13" xfId="1" applyFont="1" applyFill="1" applyBorder="1" applyAlignment="1">
      <alignment vertical="top" wrapText="1"/>
    </xf>
    <xf numFmtId="0" fontId="0" fillId="7" borderId="13" xfId="1" applyFont="1" applyFill="1" applyBorder="1" applyAlignment="1">
      <alignment vertical="top"/>
    </xf>
    <xf numFmtId="0" fontId="10" fillId="7" borderId="13" xfId="1" applyFont="1" applyFill="1" applyBorder="1" applyAlignment="1">
      <alignment vertical="top" wrapText="1"/>
    </xf>
    <xf numFmtId="9" fontId="10" fillId="7" borderId="13" xfId="2" applyFont="1" applyFill="1" applyBorder="1" applyAlignment="1">
      <alignment horizontal="center" vertical="center"/>
    </xf>
    <xf numFmtId="0" fontId="10" fillId="7" borderId="13" xfId="1" applyFont="1" applyFill="1" applyBorder="1" applyAlignment="1">
      <alignment vertical="top"/>
    </xf>
    <xf numFmtId="9" fontId="0" fillId="7" borderId="13" xfId="0" quotePrefix="1" applyNumberFormat="1" applyFill="1" applyBorder="1" applyAlignment="1">
      <alignment horizontal="center" vertical="center"/>
    </xf>
    <xf numFmtId="0" fontId="10" fillId="7" borderId="13" xfId="1" applyFont="1" applyFill="1" applyBorder="1" applyAlignment="1">
      <alignment horizontal="left" vertical="center"/>
    </xf>
    <xf numFmtId="9" fontId="10" fillId="7" borderId="13" xfId="2" applyFont="1" applyFill="1" applyBorder="1" applyAlignment="1">
      <alignment horizontal="center" vertical="center" wrapText="1"/>
    </xf>
    <xf numFmtId="0" fontId="0" fillId="7" borderId="13" xfId="1" applyFont="1" applyFill="1" applyBorder="1" applyAlignment="1">
      <alignment wrapText="1"/>
    </xf>
    <xf numFmtId="0" fontId="11" fillId="0" borderId="13" xfId="0" applyFont="1" applyBorder="1" applyAlignment="1">
      <alignment vertical="center"/>
    </xf>
    <xf numFmtId="0" fontId="0" fillId="0" borderId="13" xfId="1" applyFont="1" applyBorder="1" applyAlignment="1">
      <alignment vertical="top" wrapText="1"/>
    </xf>
    <xf numFmtId="9" fontId="0" fillId="0" borderId="13" xfId="0" applyNumberFormat="1" applyBorder="1" applyAlignment="1">
      <alignment horizontal="center" vertical="center"/>
    </xf>
    <xf numFmtId="0" fontId="0" fillId="0" borderId="13" xfId="1" applyFont="1" applyBorder="1" applyAlignment="1">
      <alignment vertical="top"/>
    </xf>
    <xf numFmtId="0" fontId="10" fillId="0" borderId="13" xfId="1" applyFont="1" applyBorder="1" applyAlignment="1">
      <alignment vertical="top" wrapText="1"/>
    </xf>
    <xf numFmtId="9" fontId="10" fillId="0" borderId="13" xfId="2" applyFont="1" applyFill="1" applyBorder="1" applyAlignment="1">
      <alignment horizontal="center" vertical="center"/>
    </xf>
    <xf numFmtId="0" fontId="10" fillId="0" borderId="13" xfId="1" applyFont="1" applyBorder="1" applyAlignment="1">
      <alignment vertical="top"/>
    </xf>
    <xf numFmtId="0" fontId="0" fillId="0" borderId="13" xfId="1" applyFont="1" applyBorder="1" applyAlignment="1">
      <alignment horizontal="left" vertical="top" wrapText="1"/>
    </xf>
    <xf numFmtId="9" fontId="0" fillId="0" borderId="13" xfId="2" applyFont="1" applyFill="1" applyBorder="1" applyAlignment="1">
      <alignment horizontal="center" vertical="center" wrapText="1"/>
    </xf>
    <xf numFmtId="9" fontId="0" fillId="0" borderId="13" xfId="0" quotePrefix="1" applyNumberFormat="1" applyBorder="1" applyAlignment="1">
      <alignment horizontal="center" vertical="center"/>
    </xf>
    <xf numFmtId="0" fontId="0" fillId="0" borderId="13" xfId="1" applyFont="1" applyBorder="1" applyAlignment="1">
      <alignment horizontal="left" vertical="top"/>
    </xf>
    <xf numFmtId="0" fontId="10" fillId="0" borderId="13" xfId="1" applyFont="1" applyBorder="1" applyAlignment="1">
      <alignment horizontal="left" vertical="center"/>
    </xf>
    <xf numFmtId="0" fontId="0" fillId="0" borderId="13" xfId="1" applyFont="1" applyBorder="1" applyAlignment="1">
      <alignment wrapText="1"/>
    </xf>
    <xf numFmtId="0" fontId="11" fillId="7" borderId="13" xfId="0" applyFont="1" applyFill="1" applyBorder="1" applyAlignment="1">
      <alignment vertical="center"/>
    </xf>
    <xf numFmtId="9" fontId="6" fillId="7" borderId="13" xfId="0" applyNumberFormat="1" applyFont="1" applyFill="1" applyBorder="1" applyAlignment="1">
      <alignment horizontal="center" vertical="center"/>
    </xf>
    <xf numFmtId="0" fontId="11" fillId="0" borderId="13" xfId="0" applyFont="1" applyBorder="1"/>
    <xf numFmtId="9" fontId="0" fillId="0" borderId="13" xfId="2" applyFont="1" applyFill="1" applyBorder="1" applyAlignment="1">
      <alignment horizontal="center" vertical="top"/>
    </xf>
    <xf numFmtId="9" fontId="10" fillId="0" borderId="13" xfId="2" applyFont="1" applyFill="1" applyBorder="1" applyAlignment="1">
      <alignment horizontal="center" vertical="top"/>
    </xf>
    <xf numFmtId="9" fontId="6" fillId="7" borderId="13" xfId="2" applyFont="1" applyFill="1" applyBorder="1" applyAlignment="1">
      <alignment horizontal="center" vertical="center" wrapText="1"/>
    </xf>
    <xf numFmtId="9" fontId="0" fillId="7" borderId="13" xfId="2" applyFont="1" applyFill="1" applyBorder="1" applyAlignment="1">
      <alignment wrapText="1"/>
    </xf>
    <xf numFmtId="9" fontId="0" fillId="7" borderId="13" xfId="2" applyFont="1" applyFill="1" applyBorder="1" applyAlignment="1"/>
    <xf numFmtId="9" fontId="6" fillId="0" borderId="13" xfId="2" applyFont="1" applyFill="1" applyBorder="1" applyAlignment="1">
      <alignment horizontal="center" vertical="center" wrapText="1"/>
    </xf>
    <xf numFmtId="9" fontId="0" fillId="7" borderId="13" xfId="2" applyFont="1" applyFill="1" applyBorder="1" applyAlignment="1">
      <alignment horizontal="left" vertical="center" wrapText="1" readingOrder="1"/>
    </xf>
    <xf numFmtId="9" fontId="0" fillId="7" borderId="13" xfId="2" applyFont="1" applyFill="1" applyBorder="1" applyAlignment="1">
      <alignment horizontal="left" vertical="center" readingOrder="1"/>
    </xf>
    <xf numFmtId="9" fontId="0" fillId="0" borderId="13" xfId="2" applyFont="1" applyFill="1" applyBorder="1" applyAlignment="1">
      <alignment horizontal="left" vertical="center" wrapText="1" readingOrder="1"/>
    </xf>
    <xf numFmtId="9" fontId="0" fillId="0" borderId="13" xfId="2" applyFont="1" applyFill="1" applyBorder="1" applyAlignment="1">
      <alignment horizontal="left" vertical="center" readingOrder="1"/>
    </xf>
    <xf numFmtId="0" fontId="7" fillId="7" borderId="13" xfId="1" applyFont="1" applyFill="1" applyBorder="1"/>
    <xf numFmtId="0" fontId="7" fillId="0" borderId="13" xfId="1" applyFont="1" applyBorder="1"/>
    <xf numFmtId="0" fontId="9" fillId="9" borderId="13" xfId="1" applyFont="1" applyFill="1" applyBorder="1"/>
    <xf numFmtId="0" fontId="7" fillId="0" borderId="13" xfId="0" applyFont="1" applyBorder="1"/>
    <xf numFmtId="0" fontId="9" fillId="9" borderId="13" xfId="0" applyFont="1" applyFill="1" applyBorder="1"/>
    <xf numFmtId="0" fontId="0" fillId="7" borderId="13" xfId="1" applyFont="1" applyFill="1" applyBorder="1" applyAlignment="1">
      <alignment vertical="center" wrapText="1"/>
    </xf>
    <xf numFmtId="0" fontId="0" fillId="7" borderId="13" xfId="1" applyFont="1" applyFill="1" applyBorder="1" applyAlignment="1">
      <alignment vertical="center"/>
    </xf>
    <xf numFmtId="0" fontId="10" fillId="7" borderId="13" xfId="1" applyFont="1" applyFill="1" applyBorder="1" applyAlignment="1">
      <alignment vertical="center" wrapText="1"/>
    </xf>
    <xf numFmtId="0" fontId="10" fillId="7" borderId="13" xfId="1" applyFont="1" applyFill="1" applyBorder="1" applyAlignment="1">
      <alignment vertical="center"/>
    </xf>
    <xf numFmtId="9" fontId="0" fillId="7" borderId="13" xfId="2" applyFont="1" applyFill="1" applyBorder="1" applyAlignment="1">
      <alignment vertical="center"/>
    </xf>
    <xf numFmtId="0" fontId="0" fillId="0" borderId="13" xfId="1" applyFont="1" applyBorder="1" applyAlignment="1">
      <alignment vertical="center" wrapText="1"/>
    </xf>
    <xf numFmtId="9" fontId="0" fillId="0" borderId="13" xfId="0" applyNumberFormat="1" applyBorder="1" applyAlignment="1">
      <alignment horizontal="center" vertical="center" wrapText="1"/>
    </xf>
    <xf numFmtId="0" fontId="0" fillId="0" borderId="13" xfId="1" applyFont="1" applyBorder="1" applyAlignment="1">
      <alignment vertical="center"/>
    </xf>
    <xf numFmtId="0" fontId="10" fillId="0" borderId="13" xfId="1" applyFont="1" applyBorder="1" applyAlignment="1">
      <alignment vertical="center" wrapText="1"/>
    </xf>
    <xf numFmtId="9" fontId="10" fillId="0" borderId="13" xfId="2" applyFont="1" applyFill="1" applyBorder="1" applyAlignment="1">
      <alignment horizontal="center" vertical="center" wrapText="1"/>
    </xf>
    <xf numFmtId="0" fontId="10" fillId="0" borderId="13" xfId="1" applyFont="1" applyBorder="1" applyAlignment="1">
      <alignment vertical="center"/>
    </xf>
    <xf numFmtId="9" fontId="0" fillId="0" borderId="13" xfId="2" applyFont="1" applyFill="1" applyBorder="1" applyAlignment="1">
      <alignment vertical="center"/>
    </xf>
    <xf numFmtId="1" fontId="0" fillId="0" borderId="13" xfId="0" applyNumberFormat="1" applyBorder="1" applyAlignment="1">
      <alignment horizontal="center" vertical="center" wrapText="1"/>
    </xf>
    <xf numFmtId="9" fontId="0" fillId="0" borderId="13" xfId="2" applyFont="1" applyFill="1" applyBorder="1" applyAlignment="1">
      <alignment horizontal="left" vertical="center"/>
    </xf>
    <xf numFmtId="9" fontId="0" fillId="7" borderId="13" xfId="2" applyFont="1" applyFill="1" applyBorder="1" applyAlignment="1">
      <alignment horizontal="left" vertical="center"/>
    </xf>
    <xf numFmtId="1" fontId="0" fillId="7" borderId="13" xfId="2" applyNumberFormat="1" applyFont="1" applyFill="1" applyBorder="1" applyAlignment="1">
      <alignment horizontal="center" vertical="center"/>
    </xf>
    <xf numFmtId="0" fontId="0" fillId="0" borderId="13" xfId="1" applyFont="1" applyBorder="1" applyAlignment="1">
      <alignment horizontal="center" vertical="center" wrapText="1"/>
    </xf>
    <xf numFmtId="0" fontId="12" fillId="0" borderId="13" xfId="0" applyFont="1" applyBorder="1"/>
    <xf numFmtId="0" fontId="0" fillId="0" borderId="13" xfId="0" applyBorder="1" applyAlignment="1">
      <alignment horizontal="center" vertical="center"/>
    </xf>
    <xf numFmtId="10" fontId="0" fillId="0" borderId="13" xfId="0" applyNumberFormat="1" applyBorder="1" applyAlignment="1">
      <alignment horizontal="center" vertical="center" wrapText="1"/>
    </xf>
    <xf numFmtId="0" fontId="12" fillId="0" borderId="13" xfId="0" applyFont="1" applyBorder="1" applyAlignment="1">
      <alignment horizontal="left"/>
    </xf>
    <xf numFmtId="0" fontId="12" fillId="7" borderId="13" xfId="0" applyFont="1" applyFill="1" applyBorder="1" applyAlignment="1">
      <alignment horizontal="left"/>
    </xf>
    <xf numFmtId="0" fontId="12" fillId="7" borderId="13" xfId="0" applyFont="1" applyFill="1" applyBorder="1"/>
    <xf numFmtId="164" fontId="0" fillId="0" borderId="13" xfId="2" applyNumberFormat="1" applyFont="1" applyFill="1" applyBorder="1" applyAlignment="1">
      <alignment horizontal="center"/>
    </xf>
    <xf numFmtId="0" fontId="12" fillId="7" borderId="13" xfId="0" quotePrefix="1" applyFont="1" applyFill="1" applyBorder="1" applyAlignment="1">
      <alignment horizontal="left"/>
    </xf>
    <xf numFmtId="0" fontId="13" fillId="0" borderId="13" xfId="0" applyFont="1" applyBorder="1" applyAlignment="1">
      <alignment vertical="center" wrapText="1"/>
    </xf>
    <xf numFmtId="164" fontId="0" fillId="0" borderId="13" xfId="0" applyNumberFormat="1" applyBorder="1" applyAlignment="1">
      <alignment horizontal="center"/>
    </xf>
    <xf numFmtId="0" fontId="8" fillId="10" borderId="13" xfId="1" applyFont="1" applyFill="1" applyBorder="1" applyAlignment="1">
      <alignment horizontal="left" vertical="center" wrapText="1"/>
    </xf>
    <xf numFmtId="0" fontId="7" fillId="0" borderId="13" xfId="0" applyFont="1" applyBorder="1" applyAlignment="1">
      <alignment horizontal="right"/>
    </xf>
    <xf numFmtId="0" fontId="7" fillId="0" borderId="13" xfId="0" applyFont="1" applyBorder="1" applyAlignment="1">
      <alignment horizontal="left"/>
    </xf>
    <xf numFmtId="0" fontId="7" fillId="8" borderId="13" xfId="0" applyFont="1" applyFill="1" applyBorder="1" applyAlignment="1">
      <alignment horizontal="left"/>
    </xf>
    <xf numFmtId="0" fontId="7" fillId="8" borderId="13" xfId="0" quotePrefix="1" applyFont="1" applyFill="1" applyBorder="1" applyAlignment="1">
      <alignment horizontal="left"/>
    </xf>
    <xf numFmtId="0" fontId="7" fillId="0" borderId="13" xfId="0" applyFont="1" applyBorder="1" applyAlignment="1">
      <alignment vertical="top"/>
    </xf>
    <xf numFmtId="0" fontId="7" fillId="0" borderId="13" xfId="0" quotePrefix="1" applyFont="1" applyBorder="1" applyAlignment="1">
      <alignment horizontal="left"/>
    </xf>
    <xf numFmtId="0" fontId="0" fillId="0" borderId="13" xfId="0" applyBorder="1" applyAlignment="1">
      <alignment horizontal="right"/>
    </xf>
    <xf numFmtId="0" fontId="0" fillId="0" borderId="8" xfId="0" applyBorder="1" applyAlignment="1">
      <alignment wrapText="1"/>
    </xf>
    <xf numFmtId="0" fontId="0" fillId="0" borderId="2" xfId="0" applyBorder="1" applyAlignment="1">
      <alignment wrapText="1"/>
    </xf>
    <xf numFmtId="0" fontId="0" fillId="0" borderId="9" xfId="0" applyBorder="1" applyAlignment="1">
      <alignment wrapText="1"/>
    </xf>
    <xf numFmtId="0" fontId="0" fillId="0" borderId="4" xfId="0" applyBorder="1" applyAlignment="1">
      <alignment wrapText="1"/>
    </xf>
    <xf numFmtId="0" fontId="0" fillId="0" borderId="10" xfId="0" applyBorder="1" applyAlignment="1">
      <alignment wrapText="1"/>
    </xf>
    <xf numFmtId="0" fontId="0" fillId="0" borderId="6" xfId="0" applyBorder="1" applyAlignment="1">
      <alignment wrapText="1"/>
    </xf>
    <xf numFmtId="0" fontId="0" fillId="8" borderId="13" xfId="0" applyFill="1" applyBorder="1" applyAlignment="1">
      <alignment horizontal="left" vertical="center" wrapText="1"/>
    </xf>
    <xf numFmtId="0" fontId="0" fillId="8" borderId="13" xfId="0" applyFill="1" applyBorder="1" applyAlignment="1">
      <alignment vertical="center" wrapText="1"/>
    </xf>
    <xf numFmtId="0" fontId="4" fillId="0" borderId="14" xfId="0" applyFont="1" applyBorder="1" applyAlignment="1">
      <alignment horizontal="center" vertical="center"/>
    </xf>
    <xf numFmtId="0" fontId="4" fillId="0" borderId="7" xfId="0" applyFont="1" applyBorder="1" applyAlignment="1">
      <alignment horizontal="center" vertical="center"/>
    </xf>
    <xf numFmtId="0" fontId="4" fillId="0" borderId="14" xfId="0" applyFont="1" applyBorder="1" applyAlignment="1">
      <alignment horizontal="center"/>
    </xf>
    <xf numFmtId="0" fontId="4" fillId="0" borderId="7" xfId="0" applyFont="1" applyBorder="1" applyAlignment="1">
      <alignment horizontal="center"/>
    </xf>
    <xf numFmtId="0" fontId="1" fillId="0" borderId="14" xfId="0" applyFont="1" applyBorder="1" applyAlignment="1">
      <alignment horizontal="center"/>
    </xf>
    <xf numFmtId="0" fontId="1" fillId="0" borderId="7" xfId="0" applyFont="1" applyBorder="1" applyAlignment="1">
      <alignment horizontal="center"/>
    </xf>
    <xf numFmtId="9" fontId="0" fillId="7" borderId="13" xfId="2" applyFont="1" applyFill="1" applyBorder="1" applyAlignment="1">
      <alignment horizontal="left" vertical="center" wrapText="1"/>
    </xf>
    <xf numFmtId="9" fontId="0" fillId="7" borderId="13" xfId="2" applyFont="1" applyFill="1" applyBorder="1" applyAlignment="1">
      <alignment horizontal="center" vertical="center"/>
    </xf>
    <xf numFmtId="0" fontId="0" fillId="7" borderId="13" xfId="0" applyFill="1" applyBorder="1" applyAlignment="1">
      <alignment horizontal="left" vertical="center" wrapText="1"/>
    </xf>
    <xf numFmtId="9" fontId="0" fillId="7" borderId="13" xfId="2" applyFont="1" applyFill="1" applyBorder="1" applyAlignment="1">
      <alignment horizontal="center"/>
    </xf>
    <xf numFmtId="9" fontId="0" fillId="0" borderId="13" xfId="2" applyFont="1" applyFill="1" applyBorder="1" applyAlignment="1">
      <alignment horizontal="left" vertical="center" wrapText="1"/>
    </xf>
    <xf numFmtId="9" fontId="0" fillId="0" borderId="13" xfId="2" applyFont="1" applyFill="1" applyBorder="1" applyAlignment="1">
      <alignment horizontal="center" vertical="center"/>
    </xf>
    <xf numFmtId="0" fontId="0" fillId="0" borderId="13" xfId="0" applyBorder="1" applyAlignment="1">
      <alignment horizontal="left" vertical="center" wrapText="1"/>
    </xf>
    <xf numFmtId="9" fontId="0" fillId="0" borderId="13" xfId="2" applyFont="1" applyBorder="1" applyAlignment="1">
      <alignment horizontal="center"/>
    </xf>
    <xf numFmtId="9" fontId="0" fillId="0" borderId="13" xfId="2" applyFont="1" applyBorder="1" applyAlignment="1">
      <alignment horizontal="center" vertical="center"/>
    </xf>
    <xf numFmtId="9" fontId="0" fillId="0" borderId="13" xfId="2" applyFont="1" applyBorder="1" applyAlignment="1">
      <alignment horizontal="left" vertical="center" wrapText="1"/>
    </xf>
    <xf numFmtId="0" fontId="0" fillId="0" borderId="13" xfId="0" applyBorder="1" applyAlignment="1">
      <alignment horizontal="left" wrapText="1"/>
    </xf>
    <xf numFmtId="9" fontId="0" fillId="0" borderId="13" xfId="2" applyFont="1" applyBorder="1" applyAlignment="1">
      <alignment horizontal="center" vertical="center" wrapText="1"/>
    </xf>
    <xf numFmtId="9" fontId="0" fillId="7" borderId="13" xfId="2" applyFont="1" applyFill="1" applyBorder="1" applyAlignment="1">
      <alignment horizontal="center" vertical="center" wrapText="1"/>
    </xf>
    <xf numFmtId="9" fontId="0" fillId="7" borderId="13" xfId="0" applyNumberFormat="1" applyFill="1" applyBorder="1" applyAlignment="1">
      <alignment horizontal="center" vertical="center"/>
    </xf>
    <xf numFmtId="0" fontId="0" fillId="7" borderId="13" xfId="0" applyFill="1" applyBorder="1" applyAlignment="1">
      <alignment horizontal="center" vertical="center"/>
    </xf>
    <xf numFmtId="0" fontId="0" fillId="7" borderId="13" xfId="0" applyFill="1" applyBorder="1" applyAlignment="1">
      <alignment horizontal="left" vertical="center"/>
    </xf>
    <xf numFmtId="0" fontId="0" fillId="0" borderId="13" xfId="0" applyBorder="1" applyAlignment="1">
      <alignment horizontal="left" vertical="center"/>
    </xf>
    <xf numFmtId="9" fontId="0" fillId="0" borderId="13" xfId="0" applyNumberFormat="1" applyBorder="1" applyAlignment="1">
      <alignment horizontal="center" vertical="center"/>
    </xf>
    <xf numFmtId="0" fontId="0" fillId="7" borderId="13" xfId="0" applyFill="1" applyBorder="1" applyAlignment="1">
      <alignment horizontal="center" vertical="center" wrapText="1"/>
    </xf>
    <xf numFmtId="0" fontId="0" fillId="7" borderId="13" xfId="0" applyFill="1" applyBorder="1" applyAlignment="1">
      <alignment vertical="center" wrapText="1"/>
    </xf>
    <xf numFmtId="9" fontId="0" fillId="7" borderId="13" xfId="0" applyNumberFormat="1" applyFill="1"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vertical="center" wrapText="1"/>
    </xf>
    <xf numFmtId="0" fontId="0" fillId="8" borderId="13" xfId="0" applyFill="1" applyBorder="1" applyAlignment="1">
      <alignment horizontal="left" vertical="center" wrapText="1"/>
    </xf>
    <xf numFmtId="9" fontId="0" fillId="8" borderId="13" xfId="2" applyFont="1" applyFill="1" applyBorder="1" applyAlignment="1">
      <alignment horizontal="center" vertical="center"/>
    </xf>
    <xf numFmtId="0" fontId="0" fillId="7" borderId="13" xfId="0" applyFill="1" applyBorder="1" applyAlignment="1">
      <alignment horizontal="left" wrapText="1"/>
    </xf>
    <xf numFmtId="164" fontId="0" fillId="7" borderId="13" xfId="2" applyNumberFormat="1" applyFont="1" applyFill="1" applyBorder="1" applyAlignment="1">
      <alignment horizontal="center" vertical="center"/>
    </xf>
    <xf numFmtId="164" fontId="0" fillId="7" borderId="13" xfId="2" applyNumberFormat="1" applyFont="1" applyFill="1" applyBorder="1" applyAlignment="1">
      <alignment horizontal="center" vertical="center" wrapText="1"/>
    </xf>
    <xf numFmtId="164" fontId="0" fillId="0" borderId="13" xfId="2" applyNumberFormat="1" applyFont="1" applyBorder="1" applyAlignment="1">
      <alignment horizontal="center" vertical="center"/>
    </xf>
    <xf numFmtId="164" fontId="0" fillId="0" borderId="13" xfId="2" applyNumberFormat="1" applyFont="1" applyBorder="1" applyAlignment="1">
      <alignment horizontal="center" vertical="center" wrapText="1"/>
    </xf>
    <xf numFmtId="164" fontId="0" fillId="0" borderId="13" xfId="2" applyNumberFormat="1" applyFont="1" applyFill="1" applyBorder="1" applyAlignment="1">
      <alignment horizontal="center" vertical="center" wrapText="1"/>
    </xf>
    <xf numFmtId="0" fontId="10" fillId="7" borderId="13" xfId="0" applyFont="1" applyFill="1" applyBorder="1" applyAlignment="1">
      <alignment horizontal="left" vertical="center" wrapText="1"/>
    </xf>
    <xf numFmtId="164" fontId="10" fillId="7" borderId="13" xfId="2" applyNumberFormat="1" applyFont="1" applyFill="1" applyBorder="1" applyAlignment="1">
      <alignment horizontal="center" vertical="center" wrapText="1"/>
    </xf>
    <xf numFmtId="9" fontId="0" fillId="7" borderId="13" xfId="0" applyNumberFormat="1" applyFill="1" applyBorder="1" applyAlignment="1">
      <alignment horizontal="center"/>
    </xf>
    <xf numFmtId="0" fontId="0" fillId="7" borderId="13" xfId="0" applyFill="1" applyBorder="1" applyAlignment="1">
      <alignment wrapText="1"/>
    </xf>
    <xf numFmtId="0" fontId="13" fillId="0" borderId="13" xfId="0" applyFont="1" applyBorder="1" applyAlignment="1">
      <alignment horizontal="left" vertical="center" wrapText="1"/>
    </xf>
    <xf numFmtId="9" fontId="13" fillId="0" borderId="13" xfId="2" applyFont="1" applyBorder="1" applyAlignment="1">
      <alignment horizontal="center" vertical="center" wrapText="1"/>
    </xf>
    <xf numFmtId="0" fontId="0" fillId="4" borderId="13" xfId="1" applyFont="1" applyFill="1" applyBorder="1" applyProtection="1">
      <protection locked="0"/>
    </xf>
    <xf numFmtId="0" fontId="6" fillId="11" borderId="7" xfId="0" applyFont="1" applyFill="1" applyBorder="1" applyProtection="1">
      <protection locked="0"/>
    </xf>
  </cellXfs>
  <cellStyles count="3">
    <cellStyle name="Normal" xfId="0" builtinId="0"/>
    <cellStyle name="Normal 2" xfId="1" xr:uid="{2AB65FE1-0985-4500-AC9D-97EC5E952D4B}"/>
    <cellStyle name="Percent" xfId="2" builtinId="5"/>
  </cellStyles>
  <dxfs count="1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1670050</xdr:colOff>
      <xdr:row>0</xdr:row>
      <xdr:rowOff>685800</xdr:rowOff>
    </xdr:to>
    <xdr:pic>
      <xdr:nvPicPr>
        <xdr:cNvPr id="2" name="Picture 1" descr="Logo, icon&#10;&#10;Description automatically generated">
          <a:extLst>
            <a:ext uri="{FF2B5EF4-FFF2-40B4-BE49-F238E27FC236}">
              <a16:creationId xmlns:a16="http://schemas.microsoft.com/office/drawing/2014/main" id="{63D3A897-89A2-4E76-8368-D388F9F068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670050" cy="6858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anafricantower-my.sharepoint.com/personal/aanebi_panafricantowers_com/Documents/PAT/Performance%20Management/Performance%20Mgt/APPRAISAL/2025%20Midyear%20database.xlsx" TargetMode="External"/><Relationship Id="rId1" Type="http://schemas.openxmlformats.org/officeDocument/2006/relationships/externalLinkPath" Target="https://panafricantower-my.sharepoint.com/personal/aanebi_panafricantowers_com/Documents/PAT/Performance%20Management/Performance%20Mgt/APPRAISAL/2025%20Midyear%20databas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anafricantower-my.sharepoint.com/personal/aanebi_panafricantowers_com/Documents/PAT/Staff%20List/2025/Staff%20List%20with%20Line%20Mangers_29042025.xlsx" TargetMode="External"/><Relationship Id="rId1" Type="http://schemas.openxmlformats.org/officeDocument/2006/relationships/externalLinkPath" Target="https://panafricantower-my.sharepoint.com/personal/aanebi_panafricantowers_com/Documents/PAT/Staff%20List/2025/Staff%20List%20with%20Line%20Mangers_2904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anebi\AppData\Local\Microsoft\Windows\INetCache\Content.Outlook\EWTZXHWY\ESG%20%20Impact%20Manager%20-%20OKR%20-%20Year%202025.xlsx" TargetMode="External"/><Relationship Id="rId1" Type="http://schemas.openxmlformats.org/officeDocument/2006/relationships/externalLinkPath" Target="/Users/aanebi/AppData/Local/Microsoft/Windows/INetCache/Content.Outlook/EWTZXHWY/ESG%20%20Impact%20Manager%20-%20OKR%20-%20Yea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core"/>
    </sheetNames>
    <sheetDataSet>
      <sheetData sheetId="0">
        <row r="1">
          <cell r="A1" t="str">
            <v>S/N</v>
          </cell>
          <cell r="B1" t="str">
            <v>STAFF ID</v>
          </cell>
          <cell r="C1" t="str">
            <v xml:space="preserve">STAFF </v>
          </cell>
          <cell r="D1" t="str">
            <v>ROLE</v>
          </cell>
          <cell r="E1" t="str">
            <v>OKRs/KPIs</v>
          </cell>
          <cell r="F1" t="str">
            <v>OKRs 2</v>
          </cell>
          <cell r="G1" t="str">
            <v>WEIGHT</v>
          </cell>
          <cell r="H1" t="str">
            <v>WEIGHT BROKENDOWN</v>
          </cell>
          <cell r="I1" t="str">
            <v>TARGET</v>
          </cell>
          <cell r="J1" t="str">
            <v>KEY RESULT AREA</v>
          </cell>
          <cell r="K1" t="str">
            <v>COMPANY RESULT</v>
          </cell>
          <cell r="L1" t="str">
            <v>LINE MANAGER</v>
          </cell>
        </row>
        <row r="2">
          <cell r="A2">
            <v>1</v>
          </cell>
          <cell r="B2" t="str">
            <v>PAT00097</v>
          </cell>
          <cell r="C2" t="str">
            <v>ADEJUMOKE AJALA</v>
          </cell>
          <cell r="D2" t="str">
            <v>Key Accounts Executive</v>
          </cell>
          <cell r="E2" t="str">
            <v xml:space="preserve">Reach commercial objectives </v>
          </cell>
          <cell r="F2" t="str">
            <v xml:space="preserve">Reach commercial objectives </v>
          </cell>
          <cell r="G2">
            <v>0.5</v>
          </cell>
          <cell r="H2">
            <v>0.3</v>
          </cell>
          <cell r="I2">
            <v>80</v>
          </cell>
          <cell r="J2" t="str">
            <v>Onboard 80 new BTS sites by Q4 2025, ensuring full operational readiness.</v>
          </cell>
          <cell r="L2" t="str">
            <v>ABIMBOLA FALOPE</v>
          </cell>
        </row>
        <row r="3">
          <cell r="A3">
            <v>1</v>
          </cell>
          <cell r="B3" t="str">
            <v>PAT00097</v>
          </cell>
          <cell r="C3" t="str">
            <v>ADEJUMOKE AJALA</v>
          </cell>
          <cell r="D3" t="str">
            <v>Key Accounts Executive</v>
          </cell>
          <cell r="F3" t="str">
            <v xml:space="preserve">Reach commercial objectives </v>
          </cell>
          <cell r="H3">
            <v>0.2</v>
          </cell>
          <cell r="I3">
            <v>150</v>
          </cell>
          <cell r="J3" t="str">
            <v>Onboard 150 new colo sites by Q4 2025, securing tenant commitments before launch.</v>
          </cell>
          <cell r="L3" t="str">
            <v>ABIMBOLA FALOPE</v>
          </cell>
        </row>
        <row r="4">
          <cell r="A4">
            <v>1</v>
          </cell>
          <cell r="B4" t="str">
            <v>PAT00097</v>
          </cell>
          <cell r="C4" t="str">
            <v>ADEJUMOKE AJALA</v>
          </cell>
          <cell r="D4" t="str">
            <v>Key Accounts Executive</v>
          </cell>
          <cell r="E4" t="str">
            <v>Increase revenue and strengthen commercial agreementsthrough contract renegotiation</v>
          </cell>
          <cell r="F4" t="str">
            <v>Increase revenue and strengthen commercial agreementsthrough contract renegotiation</v>
          </cell>
          <cell r="G4">
            <v>0.2</v>
          </cell>
          <cell r="H4">
            <v>0.08</v>
          </cell>
          <cell r="I4" t="str">
            <v>Nego</v>
          </cell>
          <cell r="J4" t="str">
            <v>Negotiate improved Airtel contract terms beyond the 2024 agreements by Q4 2025.</v>
          </cell>
          <cell r="L4" t="str">
            <v>ABIMBOLA FALOPE</v>
          </cell>
        </row>
        <row r="5">
          <cell r="A5">
            <v>1</v>
          </cell>
          <cell r="B5" t="str">
            <v>PAT00097</v>
          </cell>
          <cell r="C5" t="str">
            <v>ADEJUMOKE AJALA</v>
          </cell>
          <cell r="D5" t="str">
            <v>Key Accounts Executive</v>
          </cell>
          <cell r="F5" t="str">
            <v>Increase revenue and strengthen commercial agreementsthrough contract renegotiation</v>
          </cell>
          <cell r="J5" t="str">
            <v>Complete a full site audit by Q3 2025 to:</v>
          </cell>
          <cell r="L5" t="str">
            <v>ABIMBOLA FALOPE</v>
          </cell>
        </row>
        <row r="6">
          <cell r="A6">
            <v>1</v>
          </cell>
          <cell r="B6" t="str">
            <v>PAT00097</v>
          </cell>
          <cell r="C6" t="str">
            <v>ADEJUMOKE AJALA</v>
          </cell>
          <cell r="D6" t="str">
            <v>Key Accounts Executive</v>
          </cell>
          <cell r="F6" t="str">
            <v>Increase revenue and strengthen commercial agreementsthrough contract renegotiation</v>
          </cell>
          <cell r="H6">
            <v>0.08</v>
          </cell>
          <cell r="I6" t="str">
            <v>Iden</v>
          </cell>
          <cell r="J6" t="str">
            <v>Identify customer equipment across all sites.</v>
          </cell>
          <cell r="L6" t="str">
            <v>ABIMBOLA FALOPE</v>
          </cell>
        </row>
        <row r="7">
          <cell r="A7">
            <v>1</v>
          </cell>
          <cell r="B7" t="str">
            <v>PAT00097</v>
          </cell>
          <cell r="C7" t="str">
            <v>ADEJUMOKE AJALA</v>
          </cell>
          <cell r="D7" t="str">
            <v>Key Accounts Executive</v>
          </cell>
          <cell r="F7" t="str">
            <v>Increase revenue and strengthen commercial agreementsthrough contract renegotiation</v>
          </cell>
          <cell r="H7">
            <v>0.04</v>
          </cell>
          <cell r="J7" t="str">
            <v>Ensure full billing for underbilled sites.</v>
          </cell>
          <cell r="L7" t="str">
            <v>ABIMBOLA FALOPE</v>
          </cell>
        </row>
        <row r="8">
          <cell r="A8">
            <v>1</v>
          </cell>
          <cell r="B8" t="str">
            <v>PAT00097</v>
          </cell>
          <cell r="C8" t="str">
            <v>ADEJUMOKE AJALA</v>
          </cell>
          <cell r="D8" t="str">
            <v>Key Accounts Executive</v>
          </cell>
          <cell r="E8" t="str">
            <v>Enhance Billing Accuracy and Revenue Assurance</v>
          </cell>
          <cell r="F8" t="str">
            <v>Enhance Billing Accuracy and Revenue Assurance</v>
          </cell>
          <cell r="G8">
            <v>0.1</v>
          </cell>
          <cell r="H8">
            <v>0.02</v>
          </cell>
          <cell r="I8">
            <v>1</v>
          </cell>
          <cell r="J8" t="str">
            <v>Achieve 100% accuracy in invoice submissions by Q4 2025, including:</v>
          </cell>
          <cell r="L8" t="str">
            <v>ABIMBOLA FALOPE</v>
          </cell>
        </row>
        <row r="9">
          <cell r="A9">
            <v>1</v>
          </cell>
          <cell r="B9" t="str">
            <v>PAT00097</v>
          </cell>
          <cell r="C9" t="str">
            <v>ADEJUMOKE AJALA</v>
          </cell>
          <cell r="D9" t="str">
            <v>Key Accounts Executive</v>
          </cell>
          <cell r="F9" t="str">
            <v>Enhance Billing Accuracy and Revenue Assurance</v>
          </cell>
          <cell r="H9">
            <v>7.0000000000000007E-2</v>
          </cell>
          <cell r="I9">
            <v>1</v>
          </cell>
          <cell r="J9" t="str">
            <v>Full and optimal billing for excess power in favor of PAT.</v>
          </cell>
          <cell r="L9" t="str">
            <v>ABIMBOLA FALOPE</v>
          </cell>
        </row>
        <row r="10">
          <cell r="A10">
            <v>1</v>
          </cell>
          <cell r="B10" t="str">
            <v>PAT00097</v>
          </cell>
          <cell r="C10" t="str">
            <v>ADEJUMOKE AJALA</v>
          </cell>
          <cell r="D10" t="str">
            <v>Key Accounts Executive</v>
          </cell>
          <cell r="F10" t="str">
            <v>Enhance Billing Accuracy and Revenue Assurance</v>
          </cell>
          <cell r="H10">
            <v>0.01</v>
          </cell>
          <cell r="I10">
            <v>1</v>
          </cell>
          <cell r="J10" t="str">
            <v>Complete reconciliation of invoices for 100% of sites.</v>
          </cell>
          <cell r="L10" t="str">
            <v>ABIMBOLA FALOPE</v>
          </cell>
        </row>
        <row r="11">
          <cell r="A11">
            <v>1</v>
          </cell>
          <cell r="B11" t="str">
            <v>PAT00097</v>
          </cell>
          <cell r="C11" t="str">
            <v>ADEJUMOKE AJALA</v>
          </cell>
          <cell r="D11" t="str">
            <v>Key Accounts Executive</v>
          </cell>
          <cell r="E11" t="str">
            <v xml:space="preserve">Ensure high satisfaction from customers </v>
          </cell>
          <cell r="F11" t="str">
            <v xml:space="preserve">Ensure high satisfaction from customers </v>
          </cell>
          <cell r="G11">
            <v>0.1</v>
          </cell>
          <cell r="H11">
            <v>7.4999999999999997E-2</v>
          </cell>
          <cell r="I11">
            <v>0.85</v>
          </cell>
          <cell r="J11" t="str">
            <v>Achieve 85% customer satisfaction score through surveys and interviews by Q4 2025.</v>
          </cell>
          <cell r="L11" t="str">
            <v>ABIMBOLA FALOPE</v>
          </cell>
        </row>
        <row r="12">
          <cell r="A12">
            <v>1</v>
          </cell>
          <cell r="B12" t="str">
            <v>PAT00097</v>
          </cell>
          <cell r="C12" t="str">
            <v>ADEJUMOKE AJALA</v>
          </cell>
          <cell r="D12" t="str">
            <v>Key Accounts Executive</v>
          </cell>
          <cell r="F12" t="str">
            <v xml:space="preserve">Ensure high satisfaction from customers </v>
          </cell>
          <cell r="H12">
            <v>2.5000000000000001E-2</v>
          </cell>
          <cell r="I12">
            <v>0.04</v>
          </cell>
          <cell r="J12" t="str">
            <v>Conduct quarterly customer feedback sessions to identify areas for service improvement.</v>
          </cell>
          <cell r="L12" t="str">
            <v>ABIMBOLA FALOPE</v>
          </cell>
        </row>
        <row r="13">
          <cell r="A13">
            <v>1</v>
          </cell>
          <cell r="B13" t="str">
            <v>PAT00097</v>
          </cell>
          <cell r="C13" t="str">
            <v>ADEJUMOKE AJALA</v>
          </cell>
          <cell r="D13" t="str">
            <v>Key Accounts Executive</v>
          </cell>
          <cell r="E13" t="str">
            <v>Enhance Commercial Team Performance, Career Growth, and Retention</v>
          </cell>
          <cell r="F13" t="str">
            <v>Enhance Commercial Team Performance, Career Growth, and Retention</v>
          </cell>
          <cell r="G13">
            <v>0.05</v>
          </cell>
          <cell r="H13">
            <v>0.02</v>
          </cell>
          <cell r="I13">
            <v>1</v>
          </cell>
          <cell r="J13" t="str">
            <v>Ensure all commercial staff have OKRs set and aligned with business goals by the end of April 2025.</v>
          </cell>
          <cell r="L13" t="str">
            <v>ABIMBOLA FALOPE</v>
          </cell>
        </row>
        <row r="14">
          <cell r="A14">
            <v>1</v>
          </cell>
          <cell r="B14" t="str">
            <v>PAT00097</v>
          </cell>
          <cell r="C14" t="str">
            <v>ADEJUMOKE AJALA</v>
          </cell>
          <cell r="D14" t="str">
            <v>Key Accounts Executive</v>
          </cell>
          <cell r="F14" t="str">
            <v>Enhance Commercial Team Performance, Career Growth, and Retention</v>
          </cell>
          <cell r="H14">
            <v>0.02</v>
          </cell>
          <cell r="I14">
            <v>1</v>
          </cell>
          <cell r="J14" t="str">
            <v>Collaborate with HR to define a clear career roadmap for all non-field commercial positions and ensure 100% adoption within the team by Q3 2025.</v>
          </cell>
          <cell r="L14" t="str">
            <v>ABIMBOLA FALOPE</v>
          </cell>
        </row>
        <row r="15">
          <cell r="A15">
            <v>1</v>
          </cell>
          <cell r="B15" t="str">
            <v>PAT00097</v>
          </cell>
          <cell r="C15" t="str">
            <v>ADEJUMOKE AJALA</v>
          </cell>
          <cell r="D15" t="str">
            <v>Key Accounts Executive</v>
          </cell>
          <cell r="F15" t="str">
            <v>Enhance Commercial Team Performance, Career Growth, and Retention</v>
          </cell>
          <cell r="H15">
            <v>0.01</v>
          </cell>
          <cell r="I15" t="str">
            <v>Impl</v>
          </cell>
          <cell r="J15" t="str">
            <v>Implement strategies to retain top commercial talent, ensuring attrition of senior personnel does not exceed 5%.</v>
          </cell>
          <cell r="L15" t="str">
            <v>ABIMBOLA FALOPE</v>
          </cell>
        </row>
        <row r="16">
          <cell r="A16">
            <v>1</v>
          </cell>
          <cell r="B16" t="str">
            <v>PAT00097</v>
          </cell>
          <cell r="C16" t="str">
            <v>ADEJUMOKE AJALA</v>
          </cell>
          <cell r="D16" t="str">
            <v>Key Accounts Executive</v>
          </cell>
          <cell r="E16" t="str">
            <v>Ensure Seamless Commercial Integration and Business Continuity Post-ENL Acquisition</v>
          </cell>
          <cell r="F16" t="str">
            <v>Ensure Seamless Commercial Integration and Business Continuity Post-ENL Acquisition</v>
          </cell>
          <cell r="G16">
            <v>0.05</v>
          </cell>
          <cell r="H16">
            <v>0.02</v>
          </cell>
          <cell r="I16">
            <v>1</v>
          </cell>
          <cell r="J16" t="str">
            <v>Ensure a smooth transition of commercial contracts and agreements post-ENL acquisition, with 100% contract review and alignment completed by Q3 2025.</v>
          </cell>
          <cell r="L16" t="str">
            <v>ABIMBOLA FALOPE</v>
          </cell>
        </row>
        <row r="17">
          <cell r="A17">
            <v>1</v>
          </cell>
          <cell r="B17" t="str">
            <v>PAT00097</v>
          </cell>
          <cell r="C17" t="str">
            <v>ADEJUMOKE AJALA</v>
          </cell>
          <cell r="D17" t="str">
            <v>Key Accounts Executive</v>
          </cell>
          <cell r="F17" t="str">
            <v>Ensure Seamless Commercial Integration and Business Continuity Post-ENL Acquisition</v>
          </cell>
          <cell r="H17">
            <v>0.01</v>
          </cell>
          <cell r="I17">
            <v>0</v>
          </cell>
          <cell r="J17" t="str">
            <v>Work closely with Finance and Operations to consolidate and optimize ENL’s customer accounts, ensuring zero revenue leakage and streamlined billing processes.</v>
          </cell>
          <cell r="L17" t="str">
            <v>ABIMBOLA FALOPE</v>
          </cell>
        </row>
        <row r="18">
          <cell r="A18">
            <v>1</v>
          </cell>
          <cell r="B18" t="str">
            <v>PAT00097</v>
          </cell>
          <cell r="C18" t="str">
            <v>ADEJUMOKE AJALA</v>
          </cell>
          <cell r="D18" t="str">
            <v>Key Accounts Executive</v>
          </cell>
          <cell r="F18" t="str">
            <v>Ensure Seamless Commercial Integration and Business Continuity Post-ENL Acquisition</v>
          </cell>
          <cell r="H18">
            <v>0.01</v>
          </cell>
          <cell r="I18" t="str">
            <v>Impl</v>
          </cell>
          <cell r="J18" t="str">
            <v>Provide commercial input for ENL’s financial and operational integration plan, ensuring alignment with PAT’s revenue and growth targets.</v>
          </cell>
          <cell r="L18" t="str">
            <v>ABIMBOLA FALOPE</v>
          </cell>
        </row>
        <row r="19">
          <cell r="A19">
            <v>1</v>
          </cell>
          <cell r="B19" t="str">
            <v>PAT00097</v>
          </cell>
          <cell r="C19" t="str">
            <v>ADEJUMOKE AJALA</v>
          </cell>
          <cell r="D19" t="str">
            <v>Key Accounts Executive</v>
          </cell>
          <cell r="F19" t="str">
            <v>Ensure Seamless Commercial Integration and Business Continuity Post-ENL Acquisition</v>
          </cell>
          <cell r="H19">
            <v>0.01</v>
          </cell>
          <cell r="I19" t="str">
            <v>oversight</v>
          </cell>
          <cell r="J19" t="str">
            <v>Ensure commercial oversight in ENL’s business continuity strategy, mitigating customer churn and maintaining service quality during the transition.</v>
          </cell>
          <cell r="L19" t="str">
            <v>ABIMBOLA FALOPE</v>
          </cell>
        </row>
        <row r="20">
          <cell r="A20">
            <v>2</v>
          </cell>
          <cell r="B20" t="str">
            <v>PAT00052</v>
          </cell>
          <cell r="C20" t="str">
            <v>CAROLINE GBADAMOSI</v>
          </cell>
          <cell r="D20" t="str">
            <v>Key Accounts Manager</v>
          </cell>
          <cell r="E20" t="str">
            <v xml:space="preserve">Reach commercial objectives </v>
          </cell>
          <cell r="F20" t="str">
            <v xml:space="preserve">Reach commercial objectives </v>
          </cell>
          <cell r="G20">
            <v>0.5</v>
          </cell>
          <cell r="H20">
            <v>0.3</v>
          </cell>
          <cell r="I20">
            <v>80</v>
          </cell>
          <cell r="J20" t="str">
            <v>Onboard 80 new BTS sites by Q4 2025, ensuring full operational readiness.</v>
          </cell>
          <cell r="L20" t="str">
            <v xml:space="preserve">OMONIYI AKINOLA </v>
          </cell>
        </row>
        <row r="21">
          <cell r="A21">
            <v>2</v>
          </cell>
          <cell r="B21" t="str">
            <v>PAT00052</v>
          </cell>
          <cell r="C21" t="str">
            <v>CAROLINE GBADAMOSI</v>
          </cell>
          <cell r="D21" t="str">
            <v>Key Accounts Manager</v>
          </cell>
          <cell r="F21" t="str">
            <v xml:space="preserve">Reach commercial objectives </v>
          </cell>
          <cell r="H21">
            <v>0.2</v>
          </cell>
          <cell r="I21">
            <v>150</v>
          </cell>
          <cell r="J21" t="str">
            <v>Onboard 150 new colo sites by Q4 2025, securing tenant commitments before launch.</v>
          </cell>
          <cell r="L21" t="str">
            <v xml:space="preserve">OMONIYI AKINOLA </v>
          </cell>
        </row>
        <row r="22">
          <cell r="A22">
            <v>2</v>
          </cell>
          <cell r="B22" t="str">
            <v>PAT00052</v>
          </cell>
          <cell r="C22" t="str">
            <v>CAROLINE GBADAMOSI</v>
          </cell>
          <cell r="D22" t="str">
            <v>Key Accounts Manager</v>
          </cell>
          <cell r="E22" t="str">
            <v>Increase revenue and strengthen commercial agreementsthrough contract renegotiation</v>
          </cell>
          <cell r="F22" t="str">
            <v>Increase revenue and strengthen commercial agreementsthrough contract renegotiation</v>
          </cell>
          <cell r="G22">
            <v>0.2</v>
          </cell>
          <cell r="H22">
            <v>0.09</v>
          </cell>
          <cell r="I22">
            <v>1</v>
          </cell>
          <cell r="J22" t="str">
            <v>Successfully conclude MTN contract renegotiation by Q2 2025, ensuring improved financial and operational terms.</v>
          </cell>
          <cell r="L22" t="str">
            <v xml:space="preserve">OMONIYI AKINOLA </v>
          </cell>
        </row>
        <row r="23">
          <cell r="A23">
            <v>2</v>
          </cell>
          <cell r="B23" t="str">
            <v>PAT00052</v>
          </cell>
          <cell r="C23" t="str">
            <v>CAROLINE GBADAMOSI</v>
          </cell>
          <cell r="D23" t="str">
            <v>Key Accounts Manager</v>
          </cell>
          <cell r="F23" t="str">
            <v>Increase revenue and strengthen commercial agreementsthrough contract renegotiation</v>
          </cell>
          <cell r="J23" t="str">
            <v>Complete a full site audit by Q3 2025 to:</v>
          </cell>
          <cell r="L23" t="str">
            <v xml:space="preserve">OMONIYI AKINOLA </v>
          </cell>
        </row>
        <row r="24">
          <cell r="A24">
            <v>2</v>
          </cell>
          <cell r="B24" t="str">
            <v>PAT00052</v>
          </cell>
          <cell r="C24" t="str">
            <v>CAROLINE GBADAMOSI</v>
          </cell>
          <cell r="D24" t="str">
            <v>Key Accounts Manager</v>
          </cell>
          <cell r="F24" t="str">
            <v>Increase revenue and strengthen commercial agreementsthrough contract renegotiation</v>
          </cell>
          <cell r="H24">
            <v>7.0000000000000007E-2</v>
          </cell>
          <cell r="I24" t="str">
            <v>Iden</v>
          </cell>
          <cell r="J24" t="str">
            <v>Identify customer equipment across all sites.</v>
          </cell>
          <cell r="L24" t="str">
            <v xml:space="preserve">OMONIYI AKINOLA </v>
          </cell>
        </row>
        <row r="25">
          <cell r="A25">
            <v>2</v>
          </cell>
          <cell r="B25" t="str">
            <v>PAT00052</v>
          </cell>
          <cell r="C25" t="str">
            <v>CAROLINE GBADAMOSI</v>
          </cell>
          <cell r="D25" t="str">
            <v>Key Accounts Manager</v>
          </cell>
          <cell r="F25" t="str">
            <v>Increase revenue and strengthen commercial agreementsthrough contract renegotiation</v>
          </cell>
          <cell r="H25">
            <v>0.04</v>
          </cell>
          <cell r="J25" t="str">
            <v>Ensure full billing for underbilled sites.</v>
          </cell>
          <cell r="L25" t="str">
            <v xml:space="preserve">OMONIYI AKINOLA </v>
          </cell>
        </row>
        <row r="26">
          <cell r="A26">
            <v>2</v>
          </cell>
          <cell r="B26" t="str">
            <v>PAT00052</v>
          </cell>
          <cell r="C26" t="str">
            <v>CAROLINE GBADAMOSI</v>
          </cell>
          <cell r="D26" t="str">
            <v>Key Accounts Manager</v>
          </cell>
          <cell r="E26" t="str">
            <v>Enhance Billing Accuracy and Revenue Assurance</v>
          </cell>
          <cell r="F26" t="str">
            <v>Enhance Billing Accuracy and Revenue Assurance</v>
          </cell>
          <cell r="G26">
            <v>0.1</v>
          </cell>
          <cell r="H26">
            <v>0.02</v>
          </cell>
          <cell r="I26">
            <v>1</v>
          </cell>
          <cell r="J26" t="str">
            <v>Achieve 100% accuracy in invoice submissions by Q4 2025, including:</v>
          </cell>
          <cell r="L26" t="str">
            <v xml:space="preserve">OMONIYI AKINOLA </v>
          </cell>
        </row>
        <row r="27">
          <cell r="A27">
            <v>2</v>
          </cell>
          <cell r="B27" t="str">
            <v>PAT00052</v>
          </cell>
          <cell r="C27" t="str">
            <v>CAROLINE GBADAMOSI</v>
          </cell>
          <cell r="D27" t="str">
            <v>Key Accounts Manager</v>
          </cell>
          <cell r="F27" t="str">
            <v>Enhance Billing Accuracy and Revenue Assurance</v>
          </cell>
          <cell r="H27">
            <v>7.0000000000000007E-2</v>
          </cell>
          <cell r="I27">
            <v>1</v>
          </cell>
          <cell r="J27" t="str">
            <v>Full and optimal billing for excess power in favor of PAT.</v>
          </cell>
          <cell r="L27" t="str">
            <v xml:space="preserve">OMONIYI AKINOLA </v>
          </cell>
        </row>
        <row r="28">
          <cell r="A28">
            <v>2</v>
          </cell>
          <cell r="B28" t="str">
            <v>PAT00052</v>
          </cell>
          <cell r="C28" t="str">
            <v>CAROLINE GBADAMOSI</v>
          </cell>
          <cell r="D28" t="str">
            <v>Key Accounts Manager</v>
          </cell>
          <cell r="F28" t="str">
            <v>Enhance Billing Accuracy and Revenue Assurance</v>
          </cell>
          <cell r="H28">
            <v>0.01</v>
          </cell>
          <cell r="I28">
            <v>1</v>
          </cell>
          <cell r="J28" t="str">
            <v>Complete reconciliation of invoices for 100% of sites.</v>
          </cell>
          <cell r="L28" t="str">
            <v xml:space="preserve">OMONIYI AKINOLA </v>
          </cell>
        </row>
        <row r="29">
          <cell r="A29">
            <v>2</v>
          </cell>
          <cell r="B29" t="str">
            <v>PAT00052</v>
          </cell>
          <cell r="C29" t="str">
            <v>CAROLINE GBADAMOSI</v>
          </cell>
          <cell r="D29" t="str">
            <v>Key Accounts Manager</v>
          </cell>
          <cell r="E29" t="str">
            <v xml:space="preserve">Ensure high satisfaction from customers </v>
          </cell>
          <cell r="F29" t="str">
            <v xml:space="preserve">Ensure high satisfaction from customers </v>
          </cell>
          <cell r="G29">
            <v>0.1</v>
          </cell>
          <cell r="H29">
            <v>7.4999999999999997E-2</v>
          </cell>
          <cell r="I29">
            <v>0.85</v>
          </cell>
          <cell r="J29" t="str">
            <v>Achieve 85% customer satisfaction score through surveys and interviews by Q4 2025.</v>
          </cell>
          <cell r="L29" t="str">
            <v xml:space="preserve">OMONIYI AKINOLA </v>
          </cell>
        </row>
        <row r="30">
          <cell r="A30">
            <v>2</v>
          </cell>
          <cell r="B30" t="str">
            <v>PAT00052</v>
          </cell>
          <cell r="C30" t="str">
            <v>CAROLINE GBADAMOSI</v>
          </cell>
          <cell r="D30" t="str">
            <v>Key Accounts Manager</v>
          </cell>
          <cell r="F30" t="str">
            <v xml:space="preserve">Ensure high satisfaction from customers </v>
          </cell>
          <cell r="H30">
            <v>2.5000000000000001E-2</v>
          </cell>
          <cell r="I30">
            <v>0.04</v>
          </cell>
          <cell r="J30" t="str">
            <v>Conduct quarterly customer feedback sessions to identify areas for service improvement.</v>
          </cell>
          <cell r="L30" t="str">
            <v xml:space="preserve">OMONIYI AKINOLA </v>
          </cell>
        </row>
        <row r="31">
          <cell r="A31">
            <v>2</v>
          </cell>
          <cell r="B31" t="str">
            <v>PAT00052</v>
          </cell>
          <cell r="C31" t="str">
            <v>CAROLINE GBADAMOSI</v>
          </cell>
          <cell r="D31" t="str">
            <v>Key Accounts Manager</v>
          </cell>
          <cell r="E31" t="str">
            <v>Enhance Commercial Team Performance, Career Growth, and Retention</v>
          </cell>
          <cell r="F31" t="str">
            <v>Enhance Commercial Team Performance, Career Growth, and Retention</v>
          </cell>
          <cell r="G31">
            <v>0.05</v>
          </cell>
          <cell r="H31">
            <v>0.03</v>
          </cell>
          <cell r="I31">
            <v>1</v>
          </cell>
          <cell r="J31" t="str">
            <v>Ensure OKRs is set and aligned with business goals by the end of April 2025.</v>
          </cell>
          <cell r="L31" t="str">
            <v xml:space="preserve">OMONIYI AKINOLA </v>
          </cell>
        </row>
        <row r="32">
          <cell r="A32">
            <v>2</v>
          </cell>
          <cell r="B32" t="str">
            <v>PAT00052</v>
          </cell>
          <cell r="C32" t="str">
            <v>CAROLINE GBADAMOSI</v>
          </cell>
          <cell r="D32" t="str">
            <v>Key Accounts Manager</v>
          </cell>
          <cell r="F32" t="str">
            <v>Enhance Commercial Team Performance, Career Growth, and Retention</v>
          </cell>
          <cell r="H32">
            <v>0.02</v>
          </cell>
          <cell r="I32">
            <v>1</v>
          </cell>
          <cell r="J32" t="str">
            <v>Collaborate with HR to define a clear career roadmap for individual growth by Q3 2025.</v>
          </cell>
          <cell r="L32" t="str">
            <v xml:space="preserve">OMONIYI AKINOLA </v>
          </cell>
        </row>
        <row r="33">
          <cell r="A33">
            <v>2</v>
          </cell>
          <cell r="B33" t="str">
            <v>PAT00052</v>
          </cell>
          <cell r="C33" t="str">
            <v>CAROLINE GBADAMOSI</v>
          </cell>
          <cell r="D33" t="str">
            <v>Key Accounts Manager</v>
          </cell>
          <cell r="E33" t="str">
            <v>Ensure Seamless Commercial Integration and Business Continuity Post-ENL Acquisition</v>
          </cell>
          <cell r="F33" t="str">
            <v>Ensure Seamless Commercial Integration and Business Continuity Post-ENL Acquisition</v>
          </cell>
          <cell r="G33">
            <v>0.05</v>
          </cell>
          <cell r="H33">
            <v>0.02</v>
          </cell>
          <cell r="I33">
            <v>1</v>
          </cell>
          <cell r="J33" t="str">
            <v>Ensure a smooth transition of commercial contracts and agreements post-ENL acquisition, with 100% contract review and alignment completed by Q3 2025.</v>
          </cell>
          <cell r="L33" t="str">
            <v xml:space="preserve">OMONIYI AKINOLA </v>
          </cell>
        </row>
        <row r="34">
          <cell r="A34">
            <v>2</v>
          </cell>
          <cell r="B34" t="str">
            <v>PAT00052</v>
          </cell>
          <cell r="C34" t="str">
            <v>CAROLINE GBADAMOSI</v>
          </cell>
          <cell r="D34" t="str">
            <v>Key Accounts Manager</v>
          </cell>
          <cell r="F34" t="str">
            <v>Ensure Seamless Commercial Integration and Business Continuity Post-ENL Acquisition</v>
          </cell>
          <cell r="H34">
            <v>0.01</v>
          </cell>
          <cell r="I34">
            <v>0</v>
          </cell>
          <cell r="J34" t="str">
            <v>Work closely with Finance and Operations to consolidate and optimize ENL’s customer accounts, ensuring zero revenue leakage and streamlined billing processes.</v>
          </cell>
          <cell r="L34" t="str">
            <v xml:space="preserve">OMONIYI AKINOLA </v>
          </cell>
        </row>
        <row r="35">
          <cell r="A35">
            <v>2</v>
          </cell>
          <cell r="B35" t="str">
            <v>PAT00052</v>
          </cell>
          <cell r="C35" t="str">
            <v>CAROLINE GBADAMOSI</v>
          </cell>
          <cell r="D35" t="str">
            <v>Key Accounts Manager</v>
          </cell>
          <cell r="F35" t="str">
            <v>Ensure Seamless Commercial Integration and Business Continuity Post-ENL Acquisition</v>
          </cell>
          <cell r="H35">
            <v>0.01</v>
          </cell>
          <cell r="I35" t="str">
            <v>Impl</v>
          </cell>
          <cell r="J35" t="str">
            <v>Provide commercial input for ENL’s financial and operational integration plan, ensuring alignment with PAT’s revenue and growth targets.</v>
          </cell>
          <cell r="L35" t="str">
            <v xml:space="preserve">OMONIYI AKINOLA </v>
          </cell>
        </row>
        <row r="36">
          <cell r="A36">
            <v>2</v>
          </cell>
          <cell r="B36" t="str">
            <v>PAT00052</v>
          </cell>
          <cell r="C36" t="str">
            <v>CAROLINE GBADAMOSI</v>
          </cell>
          <cell r="D36" t="str">
            <v>Key Accounts Manager</v>
          </cell>
          <cell r="F36" t="str">
            <v>Ensure Seamless Commercial Integration and Business Continuity Post-ENL Acquisition</v>
          </cell>
          <cell r="H36">
            <v>0.01</v>
          </cell>
          <cell r="I36" t="str">
            <v>oversight</v>
          </cell>
          <cell r="J36" t="str">
            <v>Ensure commercial oversight in ENL’s business continuity strategy, mitigating customer churn and maintaining service quality during the transition.</v>
          </cell>
          <cell r="L36" t="str">
            <v xml:space="preserve">OMONIYI AKINOLA </v>
          </cell>
        </row>
        <row r="37">
          <cell r="A37">
            <v>3</v>
          </cell>
          <cell r="B37" t="str">
            <v>PAT00029</v>
          </cell>
          <cell r="C37" t="str">
            <v>ABOLAJI ANIMASHAUN</v>
          </cell>
          <cell r="D37" t="str">
            <v>Key Accounts Manager</v>
          </cell>
          <cell r="E37" t="str">
            <v xml:space="preserve">Reach commercial objectives </v>
          </cell>
          <cell r="F37" t="str">
            <v xml:space="preserve">Reach commercial objectives </v>
          </cell>
          <cell r="G37">
            <v>0.5</v>
          </cell>
          <cell r="H37">
            <v>0.3</v>
          </cell>
          <cell r="I37">
            <v>80</v>
          </cell>
          <cell r="J37" t="str">
            <v>Onboard 80 new BTS sites by Q4 2025, ensuring full operational readiness.</v>
          </cell>
          <cell r="L37" t="str">
            <v>AJIBOLA OGUNBADEWA</v>
          </cell>
        </row>
        <row r="38">
          <cell r="A38">
            <v>3</v>
          </cell>
          <cell r="B38" t="str">
            <v>PAT00029</v>
          </cell>
          <cell r="C38" t="str">
            <v>ABOLAJI ANIMASHAUN</v>
          </cell>
          <cell r="D38" t="str">
            <v>Key Accounts Manager</v>
          </cell>
          <cell r="F38" t="str">
            <v xml:space="preserve">Reach commercial objectives </v>
          </cell>
          <cell r="H38">
            <v>0.2</v>
          </cell>
          <cell r="I38">
            <v>150</v>
          </cell>
          <cell r="J38" t="str">
            <v>Onboard 150 new colo sites by Q4 2025, securing tenant commitments before launch.</v>
          </cell>
          <cell r="L38" t="str">
            <v>AJIBOLA OGUNBADEWA</v>
          </cell>
        </row>
        <row r="39">
          <cell r="A39">
            <v>3</v>
          </cell>
          <cell r="B39" t="str">
            <v>PAT00029</v>
          </cell>
          <cell r="C39" t="str">
            <v>ABOLAJI ANIMASHAUN</v>
          </cell>
          <cell r="D39" t="str">
            <v>Key Accounts Manager</v>
          </cell>
          <cell r="E39" t="str">
            <v>Increase revenue and strengthen commercial agreementsthrough contract renegotiation</v>
          </cell>
          <cell r="F39" t="str">
            <v>Increase revenue and strengthen commercial agreementsthrough contract renegotiation</v>
          </cell>
          <cell r="G39">
            <v>0.2</v>
          </cell>
          <cell r="H39">
            <v>0.09</v>
          </cell>
          <cell r="I39">
            <v>1</v>
          </cell>
          <cell r="J39" t="str">
            <v>Successfully conclude MTN contract renegotiation by Q2 2025, ensuring improved financial and operational terms.</v>
          </cell>
          <cell r="L39" t="str">
            <v>AJIBOLA OGUNBADEWA</v>
          </cell>
        </row>
        <row r="40">
          <cell r="A40">
            <v>3</v>
          </cell>
          <cell r="B40" t="str">
            <v>PAT00029</v>
          </cell>
          <cell r="C40" t="str">
            <v>ABOLAJI ANIMASHAUN</v>
          </cell>
          <cell r="D40" t="str">
            <v>Key Accounts Manager</v>
          </cell>
          <cell r="F40" t="str">
            <v>Increase revenue and strengthen commercial agreementsthrough contract renegotiation</v>
          </cell>
          <cell r="J40" t="str">
            <v>Complete a full site audit by Q3 2025 to:</v>
          </cell>
          <cell r="L40" t="str">
            <v>AJIBOLA OGUNBADEWA</v>
          </cell>
        </row>
        <row r="41">
          <cell r="A41">
            <v>3</v>
          </cell>
          <cell r="B41" t="str">
            <v>PAT00029</v>
          </cell>
          <cell r="C41" t="str">
            <v>ABOLAJI ANIMASHAUN</v>
          </cell>
          <cell r="D41" t="str">
            <v>Key Accounts Manager</v>
          </cell>
          <cell r="F41" t="str">
            <v>Increase revenue and strengthen commercial agreementsthrough contract renegotiation</v>
          </cell>
          <cell r="H41">
            <v>7.0000000000000007E-2</v>
          </cell>
          <cell r="I41" t="str">
            <v>Iden</v>
          </cell>
          <cell r="J41" t="str">
            <v>Identify customer equipment across all sites.</v>
          </cell>
          <cell r="L41" t="str">
            <v>AJIBOLA OGUNBADEWA</v>
          </cell>
        </row>
        <row r="42">
          <cell r="A42">
            <v>3</v>
          </cell>
          <cell r="B42" t="str">
            <v>PAT00029</v>
          </cell>
          <cell r="C42" t="str">
            <v>ABOLAJI ANIMASHAUN</v>
          </cell>
          <cell r="D42" t="str">
            <v>Key Accounts Manager</v>
          </cell>
          <cell r="F42" t="str">
            <v>Increase revenue and strengthen commercial agreementsthrough contract renegotiation</v>
          </cell>
          <cell r="H42">
            <v>0.04</v>
          </cell>
          <cell r="J42" t="str">
            <v>Ensure full billing for underbilled sites.</v>
          </cell>
          <cell r="L42" t="str">
            <v>AJIBOLA OGUNBADEWA</v>
          </cell>
        </row>
        <row r="43">
          <cell r="A43">
            <v>3</v>
          </cell>
          <cell r="B43" t="str">
            <v>PAT00029</v>
          </cell>
          <cell r="C43" t="str">
            <v>ABOLAJI ANIMASHAUN</v>
          </cell>
          <cell r="D43" t="str">
            <v>Key Accounts Manager</v>
          </cell>
          <cell r="E43" t="str">
            <v>Enhance Billing Accuracy and Revenue Assurance</v>
          </cell>
          <cell r="F43" t="str">
            <v>Enhance Billing Accuracy and Revenue Assurance</v>
          </cell>
          <cell r="G43">
            <v>0.1</v>
          </cell>
          <cell r="H43">
            <v>0.02</v>
          </cell>
          <cell r="I43">
            <v>1</v>
          </cell>
          <cell r="J43" t="str">
            <v>Achieve 100% accuracy in invoice submissions by Q4 2025, including:</v>
          </cell>
          <cell r="L43" t="str">
            <v>AJIBOLA OGUNBADEWA</v>
          </cell>
        </row>
        <row r="44">
          <cell r="A44">
            <v>3</v>
          </cell>
          <cell r="B44" t="str">
            <v>PAT00029</v>
          </cell>
          <cell r="C44" t="str">
            <v>ABOLAJI ANIMASHAUN</v>
          </cell>
          <cell r="D44" t="str">
            <v>Key Accounts Manager</v>
          </cell>
          <cell r="F44" t="str">
            <v>Enhance Billing Accuracy and Revenue Assurance</v>
          </cell>
          <cell r="H44">
            <v>7.0000000000000007E-2</v>
          </cell>
          <cell r="I44">
            <v>1</v>
          </cell>
          <cell r="J44" t="str">
            <v>Full and optimal billing for excess power in favor of PAT.</v>
          </cell>
          <cell r="L44" t="str">
            <v>AJIBOLA OGUNBADEWA</v>
          </cell>
        </row>
        <row r="45">
          <cell r="A45">
            <v>3</v>
          </cell>
          <cell r="B45" t="str">
            <v>PAT00029</v>
          </cell>
          <cell r="C45" t="str">
            <v>ABOLAJI ANIMASHAUN</v>
          </cell>
          <cell r="D45" t="str">
            <v>Key Accounts Manager</v>
          </cell>
          <cell r="F45" t="str">
            <v>Enhance Billing Accuracy and Revenue Assurance</v>
          </cell>
          <cell r="H45">
            <v>0.01</v>
          </cell>
          <cell r="I45">
            <v>1</v>
          </cell>
          <cell r="J45" t="str">
            <v>Complete reconciliation of invoices for 100% of sites.</v>
          </cell>
          <cell r="L45" t="str">
            <v>AJIBOLA OGUNBADEWA</v>
          </cell>
        </row>
        <row r="46">
          <cell r="A46">
            <v>3</v>
          </cell>
          <cell r="B46" t="str">
            <v>PAT00029</v>
          </cell>
          <cell r="C46" t="str">
            <v>ABOLAJI ANIMASHAUN</v>
          </cell>
          <cell r="D46" t="str">
            <v>Key Accounts Manager</v>
          </cell>
          <cell r="E46" t="str">
            <v xml:space="preserve">Ensure high satisfaction from customers </v>
          </cell>
          <cell r="F46" t="str">
            <v xml:space="preserve">Ensure high satisfaction from customers </v>
          </cell>
          <cell r="G46">
            <v>0.1</v>
          </cell>
          <cell r="H46">
            <v>7.4999999999999997E-2</v>
          </cell>
          <cell r="I46">
            <v>0.85</v>
          </cell>
          <cell r="J46" t="str">
            <v>Achieve 85% customer satisfaction score through surveys and interviews by Q4 2025.</v>
          </cell>
          <cell r="L46" t="str">
            <v>AJIBOLA OGUNBADEWA</v>
          </cell>
        </row>
        <row r="47">
          <cell r="A47">
            <v>3</v>
          </cell>
          <cell r="B47" t="str">
            <v>PAT00029</v>
          </cell>
          <cell r="C47" t="str">
            <v>ABOLAJI ANIMASHAUN</v>
          </cell>
          <cell r="D47" t="str">
            <v>Key Accounts Manager</v>
          </cell>
          <cell r="F47" t="str">
            <v xml:space="preserve">Ensure high satisfaction from customers </v>
          </cell>
          <cell r="H47">
            <v>2.5000000000000001E-2</v>
          </cell>
          <cell r="I47">
            <v>0.04</v>
          </cell>
          <cell r="J47" t="str">
            <v>Conduct quarterly customer feedback sessions to identify areas for service improvement.</v>
          </cell>
          <cell r="L47" t="str">
            <v>AJIBOLA OGUNBADEWA</v>
          </cell>
        </row>
        <row r="48">
          <cell r="A48">
            <v>3</v>
          </cell>
          <cell r="B48" t="str">
            <v>PAT00029</v>
          </cell>
          <cell r="C48" t="str">
            <v>ABOLAJI ANIMASHAUN</v>
          </cell>
          <cell r="D48" t="str">
            <v>Key Accounts Manager</v>
          </cell>
          <cell r="E48" t="str">
            <v>Enhance Commercial Team Performance, Career Growth, and Retention</v>
          </cell>
          <cell r="F48" t="str">
            <v>Enhance Commercial Team Performance, Career Growth, and Retention</v>
          </cell>
          <cell r="G48">
            <v>0.05</v>
          </cell>
          <cell r="H48">
            <v>0.02</v>
          </cell>
          <cell r="I48">
            <v>1</v>
          </cell>
          <cell r="J48" t="str">
            <v>Ensure all commercial staff have OKRs set and aligned with business goals by the end of April 2025.</v>
          </cell>
          <cell r="L48" t="str">
            <v>AJIBOLA OGUNBADEWA</v>
          </cell>
        </row>
        <row r="49">
          <cell r="A49">
            <v>3</v>
          </cell>
          <cell r="B49" t="str">
            <v>PAT00029</v>
          </cell>
          <cell r="C49" t="str">
            <v>ABOLAJI ANIMASHAUN</v>
          </cell>
          <cell r="D49" t="str">
            <v>Key Accounts Manager</v>
          </cell>
          <cell r="F49" t="str">
            <v>Enhance Commercial Team Performance, Career Growth, and Retention</v>
          </cell>
          <cell r="H49">
            <v>0.02</v>
          </cell>
          <cell r="I49">
            <v>1</v>
          </cell>
          <cell r="J49" t="str">
            <v>Collaborate with HR to define a clear career roadmap for all non-field commercial positions and ensure 100% adoption within the team by Q3 2025.</v>
          </cell>
          <cell r="L49" t="str">
            <v>AJIBOLA OGUNBADEWA</v>
          </cell>
        </row>
        <row r="50">
          <cell r="A50">
            <v>3</v>
          </cell>
          <cell r="B50" t="str">
            <v>PAT00029</v>
          </cell>
          <cell r="C50" t="str">
            <v>ABOLAJI ANIMASHAUN</v>
          </cell>
          <cell r="D50" t="str">
            <v>Key Accounts Manager</v>
          </cell>
          <cell r="F50" t="str">
            <v>Enhance Commercial Team Performance, Career Growth, and Retention</v>
          </cell>
          <cell r="H50">
            <v>0.01</v>
          </cell>
          <cell r="I50" t="str">
            <v>Impl</v>
          </cell>
          <cell r="J50" t="str">
            <v>Implement strategies to retain top commercial talent, ensuring attrition of senior personnel does not exceed 5%.</v>
          </cell>
          <cell r="L50" t="str">
            <v>AJIBOLA OGUNBADEWA</v>
          </cell>
        </row>
        <row r="51">
          <cell r="A51">
            <v>3</v>
          </cell>
          <cell r="B51" t="str">
            <v>PAT00029</v>
          </cell>
          <cell r="C51" t="str">
            <v>ABOLAJI ANIMASHAUN</v>
          </cell>
          <cell r="D51" t="str">
            <v>Key Accounts Manager</v>
          </cell>
          <cell r="E51" t="str">
            <v>Ensure Seamless Commercial Integration and Business Continuity Post-ENL Acquisition</v>
          </cell>
          <cell r="F51" t="str">
            <v>Ensure Seamless Commercial Integration and Business Continuity Post-ENL Acquisition</v>
          </cell>
          <cell r="G51">
            <v>0.05</v>
          </cell>
          <cell r="H51">
            <v>0.02</v>
          </cell>
          <cell r="I51">
            <v>1</v>
          </cell>
          <cell r="J51" t="str">
            <v>Ensure a smooth transition of commercial contracts and agreements post-ENL acquisition, with 100% contract review and alignment completed by Q3 2025.</v>
          </cell>
          <cell r="L51" t="str">
            <v>AJIBOLA OGUNBADEWA</v>
          </cell>
        </row>
        <row r="52">
          <cell r="A52">
            <v>3</v>
          </cell>
          <cell r="B52" t="str">
            <v>PAT00029</v>
          </cell>
          <cell r="C52" t="str">
            <v>ABOLAJI ANIMASHAUN</v>
          </cell>
          <cell r="D52" t="str">
            <v>Key Accounts Manager</v>
          </cell>
          <cell r="F52" t="str">
            <v>Ensure Seamless Commercial Integration and Business Continuity Post-ENL Acquisition</v>
          </cell>
          <cell r="H52">
            <v>0.01</v>
          </cell>
          <cell r="I52">
            <v>0</v>
          </cell>
          <cell r="J52" t="str">
            <v>Work closely with Finance and Operations to consolidate and optimize ENL’s customer accounts, ensuring zero revenue leakage and streamlined billing processes.</v>
          </cell>
          <cell r="L52" t="str">
            <v>AJIBOLA OGUNBADEWA</v>
          </cell>
        </row>
        <row r="53">
          <cell r="A53">
            <v>3</v>
          </cell>
          <cell r="B53" t="str">
            <v>PAT00029</v>
          </cell>
          <cell r="C53" t="str">
            <v>ABOLAJI ANIMASHAUN</v>
          </cell>
          <cell r="D53" t="str">
            <v>Key Accounts Manager</v>
          </cell>
          <cell r="F53" t="str">
            <v>Ensure Seamless Commercial Integration and Business Continuity Post-ENL Acquisition</v>
          </cell>
          <cell r="H53">
            <v>0.01</v>
          </cell>
          <cell r="I53" t="str">
            <v>Impl</v>
          </cell>
          <cell r="J53" t="str">
            <v>Provide commercial input for ENL’s financial and operational integration plan, ensuring alignment with PAT’s revenue and growth targets.</v>
          </cell>
          <cell r="L53" t="str">
            <v>AJIBOLA OGUNBADEWA</v>
          </cell>
        </row>
        <row r="54">
          <cell r="A54">
            <v>3</v>
          </cell>
          <cell r="B54" t="str">
            <v>PAT00029</v>
          </cell>
          <cell r="C54" t="str">
            <v>ABOLAJI ANIMASHAUN</v>
          </cell>
          <cell r="D54" t="str">
            <v>Key Accounts Manager</v>
          </cell>
          <cell r="F54" t="str">
            <v>Ensure Seamless Commercial Integration and Business Continuity Post-ENL Acquisition</v>
          </cell>
          <cell r="H54">
            <v>0.01</v>
          </cell>
          <cell r="I54" t="str">
            <v>oversight</v>
          </cell>
          <cell r="J54" t="str">
            <v>Ensure commercial oversight in ENL’s business continuity strategy, mitigating customer churn and maintaining service quality during the transition.</v>
          </cell>
          <cell r="L54" t="str">
            <v>AJIBOLA OGUNBADEWA</v>
          </cell>
        </row>
        <row r="55">
          <cell r="A55">
            <v>4</v>
          </cell>
          <cell r="B55" t="str">
            <v>PAT00022</v>
          </cell>
          <cell r="C55" t="str">
            <v>ABIMBOLA FALOPE</v>
          </cell>
          <cell r="D55" t="str">
            <v>Director Commercial</v>
          </cell>
          <cell r="E55" t="str">
            <v xml:space="preserve">Reach commercial objectives </v>
          </cell>
          <cell r="F55" t="str">
            <v xml:space="preserve">Reach commercial objectives </v>
          </cell>
          <cell r="G55">
            <v>0.5</v>
          </cell>
          <cell r="H55">
            <v>0.3</v>
          </cell>
          <cell r="I55">
            <v>80</v>
          </cell>
          <cell r="J55" t="str">
            <v>Onboard 80 new BTS sites by Q4 2025, ensuring full operational readiness.</v>
          </cell>
          <cell r="L55" t="str">
            <v>OLADIPO BADRU</v>
          </cell>
        </row>
        <row r="56">
          <cell r="A56">
            <v>4</v>
          </cell>
          <cell r="B56" t="str">
            <v>PAT00022</v>
          </cell>
          <cell r="C56" t="str">
            <v>ABIMBOLA FALOPE</v>
          </cell>
          <cell r="D56" t="str">
            <v>Director Commercial</v>
          </cell>
          <cell r="F56" t="str">
            <v xml:space="preserve">Reach commercial objectives </v>
          </cell>
          <cell r="H56">
            <v>0.2</v>
          </cell>
          <cell r="I56">
            <v>150</v>
          </cell>
          <cell r="J56" t="str">
            <v>Onboard 150 new colo sites by Q4 2025, securing tenant commitments before launch.</v>
          </cell>
          <cell r="L56" t="str">
            <v>OLADIPO BADRU</v>
          </cell>
        </row>
        <row r="57">
          <cell r="A57">
            <v>4</v>
          </cell>
          <cell r="B57" t="str">
            <v>PAT00022</v>
          </cell>
          <cell r="C57" t="str">
            <v>ABIMBOLA FALOPE</v>
          </cell>
          <cell r="D57" t="str">
            <v>Director Commercial</v>
          </cell>
          <cell r="E57" t="str">
            <v>Increase revenue and strengthen commercial agreementsthrough contract renegotiation</v>
          </cell>
          <cell r="F57" t="str">
            <v>Increase revenue and strengthen commercial agreementsthrough contract renegotiation</v>
          </cell>
          <cell r="G57">
            <v>0.2</v>
          </cell>
          <cell r="H57">
            <v>7.4999999999999997E-2</v>
          </cell>
          <cell r="I57">
            <v>1</v>
          </cell>
          <cell r="J57" t="str">
            <v>Successfully conclude MTN contract renegotiation by Q2 2025, ensuring improved financial and operational terms.</v>
          </cell>
          <cell r="L57" t="str">
            <v>OLADIPO BADRU</v>
          </cell>
        </row>
        <row r="58">
          <cell r="A58">
            <v>4</v>
          </cell>
          <cell r="B58" t="str">
            <v>PAT00022</v>
          </cell>
          <cell r="C58" t="str">
            <v>ABIMBOLA FALOPE</v>
          </cell>
          <cell r="D58" t="str">
            <v>Director Commercial</v>
          </cell>
          <cell r="F58" t="str">
            <v>Increase revenue and strengthen commercial agreementsthrough contract renegotiation</v>
          </cell>
          <cell r="H58">
            <v>0.05</v>
          </cell>
          <cell r="I58" t="str">
            <v>Nego</v>
          </cell>
          <cell r="J58" t="str">
            <v>Negotiate improved Airtel contract terms beyond the 2024 agreements by Q4 2025.</v>
          </cell>
          <cell r="L58" t="str">
            <v>OLADIPO BADRU</v>
          </cell>
        </row>
        <row r="59">
          <cell r="A59">
            <v>4</v>
          </cell>
          <cell r="B59" t="str">
            <v>PAT00022</v>
          </cell>
          <cell r="C59" t="str">
            <v>ABIMBOLA FALOPE</v>
          </cell>
          <cell r="D59" t="str">
            <v>Director Commercial</v>
          </cell>
          <cell r="F59" t="str">
            <v>Increase revenue and strengthen commercial agreementsthrough contract renegotiation</v>
          </cell>
          <cell r="J59" t="str">
            <v>Complete a full site audit by Q3 2025 to:</v>
          </cell>
          <cell r="L59" t="str">
            <v>OLADIPO BADRU</v>
          </cell>
        </row>
        <row r="60">
          <cell r="A60">
            <v>4</v>
          </cell>
          <cell r="B60" t="str">
            <v>PAT00022</v>
          </cell>
          <cell r="C60" t="str">
            <v>ABIMBOLA FALOPE</v>
          </cell>
          <cell r="D60" t="str">
            <v>Director Commercial</v>
          </cell>
          <cell r="F60" t="str">
            <v>Increase revenue and strengthen commercial agreementsthrough contract renegotiation</v>
          </cell>
          <cell r="H60">
            <v>0.05</v>
          </cell>
          <cell r="I60" t="str">
            <v>Iden</v>
          </cell>
          <cell r="J60" t="str">
            <v>Identify customer equipment across all sites.</v>
          </cell>
          <cell r="L60" t="str">
            <v>OLADIPO BADRU</v>
          </cell>
        </row>
        <row r="61">
          <cell r="A61">
            <v>4</v>
          </cell>
          <cell r="B61" t="str">
            <v>PAT00022</v>
          </cell>
          <cell r="C61" t="str">
            <v>ABIMBOLA FALOPE</v>
          </cell>
          <cell r="D61" t="str">
            <v>Director Commercial</v>
          </cell>
          <cell r="F61" t="str">
            <v>Increase revenue and strengthen commercial agreementsthrough contract renegotiation</v>
          </cell>
          <cell r="H61">
            <v>2.5000000000000001E-2</v>
          </cell>
          <cell r="I61">
            <v>1</v>
          </cell>
          <cell r="J61" t="str">
            <v>Ensure full billing for underbilled sites.</v>
          </cell>
          <cell r="L61" t="str">
            <v>OLADIPO BADRU</v>
          </cell>
        </row>
        <row r="62">
          <cell r="A62">
            <v>4</v>
          </cell>
          <cell r="B62" t="str">
            <v>PAT00022</v>
          </cell>
          <cell r="C62" t="str">
            <v>ABIMBOLA FALOPE</v>
          </cell>
          <cell r="D62" t="str">
            <v>Director Commercial</v>
          </cell>
          <cell r="E62" t="str">
            <v>Enhance Billing Accuracy and Revenue Assurance</v>
          </cell>
          <cell r="F62" t="str">
            <v>Enhance Billing Accuracy and Revenue Assurance</v>
          </cell>
          <cell r="G62">
            <v>0.1</v>
          </cell>
          <cell r="H62">
            <v>0.02</v>
          </cell>
          <cell r="I62">
            <v>1</v>
          </cell>
          <cell r="J62" t="str">
            <v>Achieve 100% accuracy in invoice submissions by Q4 2025, including:</v>
          </cell>
          <cell r="L62" t="str">
            <v>OLADIPO BADRU</v>
          </cell>
        </row>
        <row r="63">
          <cell r="A63">
            <v>4</v>
          </cell>
          <cell r="B63" t="str">
            <v>PAT00022</v>
          </cell>
          <cell r="C63" t="str">
            <v>ABIMBOLA FALOPE</v>
          </cell>
          <cell r="D63" t="str">
            <v>Director Commercial</v>
          </cell>
          <cell r="F63" t="str">
            <v>Enhance Billing Accuracy and Revenue Assurance</v>
          </cell>
          <cell r="H63">
            <v>7.0000000000000007E-2</v>
          </cell>
          <cell r="I63">
            <v>1</v>
          </cell>
          <cell r="J63" t="str">
            <v>Full and optimal billing for excess power in favor of PAT.</v>
          </cell>
          <cell r="L63" t="str">
            <v>OLADIPO BADRU</v>
          </cell>
        </row>
        <row r="64">
          <cell r="A64">
            <v>4</v>
          </cell>
          <cell r="B64" t="str">
            <v>PAT00022</v>
          </cell>
          <cell r="C64" t="str">
            <v>ABIMBOLA FALOPE</v>
          </cell>
          <cell r="D64" t="str">
            <v>Director Commercial</v>
          </cell>
          <cell r="F64" t="str">
            <v>Enhance Billing Accuracy and Revenue Assurance</v>
          </cell>
          <cell r="H64">
            <v>0.01</v>
          </cell>
          <cell r="I64">
            <v>1</v>
          </cell>
          <cell r="J64" t="str">
            <v>Complete reconciliation of invoices for 100% of sites.</v>
          </cell>
          <cell r="L64" t="str">
            <v>OLADIPO BADRU</v>
          </cell>
        </row>
        <row r="65">
          <cell r="A65">
            <v>4</v>
          </cell>
          <cell r="B65" t="str">
            <v>PAT00022</v>
          </cell>
          <cell r="C65" t="str">
            <v>ABIMBOLA FALOPE</v>
          </cell>
          <cell r="D65" t="str">
            <v>Director Commercial</v>
          </cell>
          <cell r="E65" t="str">
            <v xml:space="preserve">Ensure high satisfaction from customers </v>
          </cell>
          <cell r="F65" t="str">
            <v xml:space="preserve">Ensure high satisfaction from customers </v>
          </cell>
          <cell r="G65">
            <v>0.1</v>
          </cell>
          <cell r="H65">
            <v>7.4999999999999997E-2</v>
          </cell>
          <cell r="I65">
            <v>0.85</v>
          </cell>
          <cell r="J65" t="str">
            <v>Achieve 85% customer satisfaction score through surveys and interviews by Q4 2025.</v>
          </cell>
          <cell r="L65" t="str">
            <v>OLADIPO BADRU</v>
          </cell>
        </row>
        <row r="66">
          <cell r="A66">
            <v>4</v>
          </cell>
          <cell r="B66" t="str">
            <v>PAT00022</v>
          </cell>
          <cell r="C66" t="str">
            <v>ABIMBOLA FALOPE</v>
          </cell>
          <cell r="D66" t="str">
            <v>Director Commercial</v>
          </cell>
          <cell r="F66" t="str">
            <v xml:space="preserve">Ensure high satisfaction from customers </v>
          </cell>
          <cell r="H66">
            <v>2.5000000000000001E-2</v>
          </cell>
          <cell r="I66">
            <v>0.04</v>
          </cell>
          <cell r="J66" t="str">
            <v>Conduct quarterly customer feedback sessions to identify areas for service improvement.</v>
          </cell>
          <cell r="L66" t="str">
            <v>OLADIPO BADRU</v>
          </cell>
        </row>
        <row r="67">
          <cell r="A67">
            <v>4</v>
          </cell>
          <cell r="B67" t="str">
            <v>PAT00022</v>
          </cell>
          <cell r="C67" t="str">
            <v>ABIMBOLA FALOPE</v>
          </cell>
          <cell r="D67" t="str">
            <v>Director Commercial</v>
          </cell>
          <cell r="E67" t="str">
            <v>Enhance Commercial Team Performance, Career Growth, and Retention</v>
          </cell>
          <cell r="F67" t="str">
            <v>Enhance Commercial Team Performance, Career Growth, and Retention</v>
          </cell>
          <cell r="G67">
            <v>0.05</v>
          </cell>
          <cell r="H67">
            <v>0.02</v>
          </cell>
          <cell r="I67">
            <v>1</v>
          </cell>
          <cell r="J67" t="str">
            <v>Ensure all commercial staff have OKRs set and aligned with business goals by the end of April 2025.</v>
          </cell>
          <cell r="L67" t="str">
            <v>OLADIPO BADRU</v>
          </cell>
        </row>
        <row r="68">
          <cell r="A68">
            <v>4</v>
          </cell>
          <cell r="B68" t="str">
            <v>PAT00022</v>
          </cell>
          <cell r="C68" t="str">
            <v>ABIMBOLA FALOPE</v>
          </cell>
          <cell r="D68" t="str">
            <v>Director Commercial</v>
          </cell>
          <cell r="F68" t="str">
            <v>Enhance Commercial Team Performance, Career Growth, and Retention</v>
          </cell>
          <cell r="H68">
            <v>0.02</v>
          </cell>
          <cell r="I68">
            <v>1</v>
          </cell>
          <cell r="J68" t="str">
            <v>Collaborate with HR to define a clear career roadmap for all non-field commercial positions and ensure 100% adoption within the team by Q3 2025.</v>
          </cell>
          <cell r="L68" t="str">
            <v>OLADIPO BADRU</v>
          </cell>
        </row>
        <row r="69">
          <cell r="A69">
            <v>4</v>
          </cell>
          <cell r="B69" t="str">
            <v>PAT00022</v>
          </cell>
          <cell r="C69" t="str">
            <v>ABIMBOLA FALOPE</v>
          </cell>
          <cell r="D69" t="str">
            <v>Director Commercial</v>
          </cell>
          <cell r="F69" t="str">
            <v>Enhance Commercial Team Performance, Career Growth, and Retention</v>
          </cell>
          <cell r="H69">
            <v>0.01</v>
          </cell>
          <cell r="I69" t="str">
            <v>Impl</v>
          </cell>
          <cell r="J69" t="str">
            <v>Implement strategies to retain top commercial talent, ensuring attrition of senior personnel does not exceed 5%.</v>
          </cell>
          <cell r="L69" t="str">
            <v>OLADIPO BADRU</v>
          </cell>
        </row>
        <row r="70">
          <cell r="A70">
            <v>4</v>
          </cell>
          <cell r="B70" t="str">
            <v>PAT00022</v>
          </cell>
          <cell r="C70" t="str">
            <v>ABIMBOLA FALOPE</v>
          </cell>
          <cell r="D70" t="str">
            <v>Director Commercial</v>
          </cell>
          <cell r="E70" t="str">
            <v>Ensure Seamless Commercial Integration and Business Continuity Post-ENL Acquisition</v>
          </cell>
          <cell r="F70" t="str">
            <v>Ensure Seamless Commercial Integration and Business Continuity Post-ENL Acquisition</v>
          </cell>
          <cell r="G70">
            <v>0.05</v>
          </cell>
          <cell r="H70">
            <v>0.02</v>
          </cell>
          <cell r="I70">
            <v>1</v>
          </cell>
          <cell r="J70" t="str">
            <v>Ensure a smooth transition of commercial contracts and agreements post-ENL acquisition, with 100% contract review and alignment completed by Q3 2025.</v>
          </cell>
          <cell r="L70" t="str">
            <v>OLADIPO BADRU</v>
          </cell>
        </row>
        <row r="71">
          <cell r="A71">
            <v>4</v>
          </cell>
          <cell r="B71" t="str">
            <v>PAT00022</v>
          </cell>
          <cell r="C71" t="str">
            <v>ABIMBOLA FALOPE</v>
          </cell>
          <cell r="D71" t="str">
            <v>Director Commercial</v>
          </cell>
          <cell r="F71" t="str">
            <v>Ensure Seamless Commercial Integration and Business Continuity Post-ENL Acquisition</v>
          </cell>
          <cell r="H71">
            <v>0.01</v>
          </cell>
          <cell r="I71">
            <v>0</v>
          </cell>
          <cell r="J71" t="str">
            <v>Work closely with Finance and Operations to consolidate and optimize ENL’s customer accounts, ensuring zero revenue leakage and streamlined billing processes.</v>
          </cell>
          <cell r="L71" t="str">
            <v>OLADIPO BADRU</v>
          </cell>
        </row>
        <row r="72">
          <cell r="A72">
            <v>4</v>
          </cell>
          <cell r="B72" t="str">
            <v>PAT00022</v>
          </cell>
          <cell r="C72" t="str">
            <v>ABIMBOLA FALOPE</v>
          </cell>
          <cell r="D72" t="str">
            <v>Director Commercial</v>
          </cell>
          <cell r="F72" t="str">
            <v>Ensure Seamless Commercial Integration and Business Continuity Post-ENL Acquisition</v>
          </cell>
          <cell r="H72">
            <v>0.01</v>
          </cell>
          <cell r="I72" t="str">
            <v>Impl</v>
          </cell>
          <cell r="J72" t="str">
            <v>Provide commercial input for ENL’s financial and operational integration plan, ensuring alignment with PAT’s revenue and growth targets.</v>
          </cell>
          <cell r="L72" t="str">
            <v>OLADIPO BADRU</v>
          </cell>
        </row>
        <row r="73">
          <cell r="A73">
            <v>4</v>
          </cell>
          <cell r="B73" t="str">
            <v>PAT00022</v>
          </cell>
          <cell r="C73" t="str">
            <v>ABIMBOLA FALOPE</v>
          </cell>
          <cell r="D73" t="str">
            <v>Director Commercial</v>
          </cell>
          <cell r="F73" t="str">
            <v>Ensure Seamless Commercial Integration and Business Continuity Post-ENL Acquisition</v>
          </cell>
          <cell r="H73">
            <v>0.01</v>
          </cell>
          <cell r="I73" t="str">
            <v>oversight</v>
          </cell>
          <cell r="J73" t="str">
            <v>Ensure commercial oversight in ENL’s business continuity strategy, mitigating customer churn and maintaining service quality during the transition.</v>
          </cell>
          <cell r="L73" t="str">
            <v>OLADIPO BADRU</v>
          </cell>
        </row>
        <row r="74">
          <cell r="A74">
            <v>5</v>
          </cell>
          <cell r="B74" t="str">
            <v>PAT00003</v>
          </cell>
          <cell r="C74" t="str">
            <v xml:space="preserve">OMONIYI AKINOLA </v>
          </cell>
          <cell r="D74" t="str">
            <v>Senior Key Accounts Manager</v>
          </cell>
          <cell r="E74" t="str">
            <v xml:space="preserve">Reach commercial objectives </v>
          </cell>
          <cell r="F74" t="str">
            <v xml:space="preserve">Reach commercial objectives </v>
          </cell>
          <cell r="G74">
            <v>0.5</v>
          </cell>
          <cell r="H74">
            <v>0.3</v>
          </cell>
          <cell r="I74">
            <v>80</v>
          </cell>
          <cell r="J74" t="str">
            <v>Onboard 80 new BTS sites by Q4 2025, ensuring full operational readiness.</v>
          </cell>
          <cell r="L74" t="str">
            <v>ADEJUMOKE AJALA</v>
          </cell>
        </row>
        <row r="75">
          <cell r="A75">
            <v>5</v>
          </cell>
          <cell r="B75" t="str">
            <v>PAT00003</v>
          </cell>
          <cell r="C75" t="str">
            <v xml:space="preserve">OMONIYI AKINOLA </v>
          </cell>
          <cell r="D75" t="str">
            <v>Senior Key Accounts Manager</v>
          </cell>
          <cell r="F75" t="str">
            <v xml:space="preserve">Reach commercial objectives </v>
          </cell>
          <cell r="H75">
            <v>0.2</v>
          </cell>
          <cell r="I75">
            <v>150</v>
          </cell>
          <cell r="J75" t="str">
            <v>Onboard 150 new colo sites by Q4 2025, securing tenant commitments before launch.</v>
          </cell>
          <cell r="L75" t="str">
            <v>ADEJUMOKE AJALA</v>
          </cell>
        </row>
        <row r="76">
          <cell r="A76">
            <v>5</v>
          </cell>
          <cell r="B76" t="str">
            <v>PAT00003</v>
          </cell>
          <cell r="C76" t="str">
            <v xml:space="preserve">OMONIYI AKINOLA </v>
          </cell>
          <cell r="D76" t="str">
            <v>Senior Key Accounts Manager</v>
          </cell>
          <cell r="E76" t="str">
            <v>Increase revenue and strengthen commercial agreementsthrough contract renegotiation</v>
          </cell>
          <cell r="F76" t="str">
            <v>Increase revenue and strengthen commercial agreementsthrough contract renegotiation</v>
          </cell>
          <cell r="G76">
            <v>0.2</v>
          </cell>
          <cell r="H76">
            <v>0.08</v>
          </cell>
          <cell r="I76" t="str">
            <v>Nego</v>
          </cell>
          <cell r="J76" t="str">
            <v>Negotiate improved Airtel contract terms beyond the 2024 agreements by Q4 2025.</v>
          </cell>
          <cell r="L76" t="str">
            <v>ADEJUMOKE AJALA</v>
          </cell>
        </row>
        <row r="77">
          <cell r="A77">
            <v>5</v>
          </cell>
          <cell r="B77" t="str">
            <v>PAT00003</v>
          </cell>
          <cell r="C77" t="str">
            <v xml:space="preserve">OMONIYI AKINOLA </v>
          </cell>
          <cell r="D77" t="str">
            <v>Senior Key Accounts Manager</v>
          </cell>
          <cell r="F77" t="str">
            <v>Increase revenue and strengthen commercial agreementsthrough contract renegotiation</v>
          </cell>
          <cell r="J77" t="str">
            <v>Complete a full site audit by Q3 2025 to:</v>
          </cell>
          <cell r="L77" t="str">
            <v>ADEJUMOKE AJALA</v>
          </cell>
        </row>
        <row r="78">
          <cell r="A78">
            <v>5</v>
          </cell>
          <cell r="B78" t="str">
            <v>PAT00003</v>
          </cell>
          <cell r="C78" t="str">
            <v xml:space="preserve">OMONIYI AKINOLA </v>
          </cell>
          <cell r="D78" t="str">
            <v>Senior Key Accounts Manager</v>
          </cell>
          <cell r="F78" t="str">
            <v>Increase revenue and strengthen commercial agreementsthrough contract renegotiation</v>
          </cell>
          <cell r="H78">
            <v>0.08</v>
          </cell>
          <cell r="I78" t="str">
            <v>Iden</v>
          </cell>
          <cell r="J78" t="str">
            <v>Identify customer equipment across all sites.</v>
          </cell>
          <cell r="L78" t="str">
            <v>ADEJUMOKE AJALA</v>
          </cell>
        </row>
        <row r="79">
          <cell r="A79">
            <v>5</v>
          </cell>
          <cell r="B79" t="str">
            <v>PAT00003</v>
          </cell>
          <cell r="C79" t="str">
            <v xml:space="preserve">OMONIYI AKINOLA </v>
          </cell>
          <cell r="D79" t="str">
            <v>Senior Key Accounts Manager</v>
          </cell>
          <cell r="F79" t="str">
            <v>Increase revenue and strengthen commercial agreementsthrough contract renegotiation</v>
          </cell>
          <cell r="H79">
            <v>0.04</v>
          </cell>
          <cell r="J79" t="str">
            <v>Ensure full billing for underbilled sites.</v>
          </cell>
          <cell r="L79" t="str">
            <v>ADEJUMOKE AJALA</v>
          </cell>
        </row>
        <row r="80">
          <cell r="A80">
            <v>5</v>
          </cell>
          <cell r="B80" t="str">
            <v>PAT00003</v>
          </cell>
          <cell r="C80" t="str">
            <v xml:space="preserve">OMONIYI AKINOLA </v>
          </cell>
          <cell r="D80" t="str">
            <v>Senior Key Accounts Manager</v>
          </cell>
          <cell r="E80" t="str">
            <v>Enhance Billing Accuracy and Revenue Assurance</v>
          </cell>
          <cell r="F80" t="str">
            <v>Enhance Billing Accuracy and Revenue Assurance</v>
          </cell>
          <cell r="G80">
            <v>0.1</v>
          </cell>
          <cell r="H80">
            <v>0.02</v>
          </cell>
          <cell r="I80">
            <v>1</v>
          </cell>
          <cell r="J80" t="str">
            <v>Achieve 100% accuracy in invoice submissions by Q4 2025, including:</v>
          </cell>
          <cell r="L80" t="str">
            <v>ADEJUMOKE AJALA</v>
          </cell>
        </row>
        <row r="81">
          <cell r="A81">
            <v>5</v>
          </cell>
          <cell r="B81" t="str">
            <v>PAT00003</v>
          </cell>
          <cell r="C81" t="str">
            <v xml:space="preserve">OMONIYI AKINOLA </v>
          </cell>
          <cell r="D81" t="str">
            <v>Senior Key Accounts Manager</v>
          </cell>
          <cell r="F81" t="str">
            <v>Enhance Billing Accuracy and Revenue Assurance</v>
          </cell>
          <cell r="H81">
            <v>7.0000000000000007E-2</v>
          </cell>
          <cell r="I81">
            <v>1</v>
          </cell>
          <cell r="J81" t="str">
            <v>Full and optimal billing for excess power in favor of PAT.</v>
          </cell>
          <cell r="L81" t="str">
            <v>ADEJUMOKE AJALA</v>
          </cell>
        </row>
        <row r="82">
          <cell r="A82">
            <v>5</v>
          </cell>
          <cell r="B82" t="str">
            <v>PAT00003</v>
          </cell>
          <cell r="C82" t="str">
            <v xml:space="preserve">OMONIYI AKINOLA </v>
          </cell>
          <cell r="D82" t="str">
            <v>Senior Key Accounts Manager</v>
          </cell>
          <cell r="F82" t="str">
            <v>Enhance Billing Accuracy and Revenue Assurance</v>
          </cell>
          <cell r="H82">
            <v>0.01</v>
          </cell>
          <cell r="I82">
            <v>1</v>
          </cell>
          <cell r="J82" t="str">
            <v>Complete reconciliation of invoices for 100% of sites.</v>
          </cell>
          <cell r="L82" t="str">
            <v>ADEJUMOKE AJALA</v>
          </cell>
        </row>
        <row r="83">
          <cell r="A83">
            <v>5</v>
          </cell>
          <cell r="B83" t="str">
            <v>PAT00003</v>
          </cell>
          <cell r="C83" t="str">
            <v xml:space="preserve">OMONIYI AKINOLA </v>
          </cell>
          <cell r="D83" t="str">
            <v>Senior Key Accounts Manager</v>
          </cell>
          <cell r="E83" t="str">
            <v xml:space="preserve">Ensure high satisfaction from customers </v>
          </cell>
          <cell r="F83" t="str">
            <v xml:space="preserve">Ensure high satisfaction from customers </v>
          </cell>
          <cell r="G83">
            <v>0.1</v>
          </cell>
          <cell r="H83">
            <v>7.4999999999999997E-2</v>
          </cell>
          <cell r="I83">
            <v>0.85</v>
          </cell>
          <cell r="J83" t="str">
            <v>Achieve 85% customer satisfaction score through surveys and interviews by Q4 2025.</v>
          </cell>
          <cell r="L83" t="str">
            <v>ADEJUMOKE AJALA</v>
          </cell>
        </row>
        <row r="84">
          <cell r="A84">
            <v>5</v>
          </cell>
          <cell r="B84" t="str">
            <v>PAT00003</v>
          </cell>
          <cell r="C84" t="str">
            <v xml:space="preserve">OMONIYI AKINOLA </v>
          </cell>
          <cell r="D84" t="str">
            <v>Senior Key Accounts Manager</v>
          </cell>
          <cell r="F84" t="str">
            <v xml:space="preserve">Ensure high satisfaction from customers </v>
          </cell>
          <cell r="H84">
            <v>2.5000000000000001E-2</v>
          </cell>
          <cell r="I84">
            <v>0.04</v>
          </cell>
          <cell r="J84" t="str">
            <v>Conduct quarterly customer feedback sessions to identify areas for service improvement.</v>
          </cell>
          <cell r="L84" t="str">
            <v>ADEJUMOKE AJALA</v>
          </cell>
        </row>
        <row r="85">
          <cell r="A85">
            <v>5</v>
          </cell>
          <cell r="B85" t="str">
            <v>PAT00003</v>
          </cell>
          <cell r="C85" t="str">
            <v xml:space="preserve">OMONIYI AKINOLA </v>
          </cell>
          <cell r="D85" t="str">
            <v>Senior Key Accounts Manager</v>
          </cell>
          <cell r="E85" t="str">
            <v>Enhance Commercial Team Performance, Career Growth, and Retention</v>
          </cell>
          <cell r="F85" t="str">
            <v>Enhance Commercial Team Performance, Career Growth, and Retention</v>
          </cell>
          <cell r="G85">
            <v>0.05</v>
          </cell>
          <cell r="H85">
            <v>0.02</v>
          </cell>
          <cell r="I85">
            <v>1</v>
          </cell>
          <cell r="J85" t="str">
            <v>Ensure OKRs is set and aligned with business goals by the end of April 2025.</v>
          </cell>
          <cell r="L85" t="str">
            <v>ADEJUMOKE AJALA</v>
          </cell>
        </row>
        <row r="86">
          <cell r="A86">
            <v>5</v>
          </cell>
          <cell r="B86" t="str">
            <v>PAT00003</v>
          </cell>
          <cell r="C86" t="str">
            <v xml:space="preserve">OMONIYI AKINOLA </v>
          </cell>
          <cell r="D86" t="str">
            <v>Senior Key Accounts Manager</v>
          </cell>
          <cell r="F86" t="str">
            <v>Enhance Commercial Team Performance, Career Growth, and Retention</v>
          </cell>
          <cell r="H86">
            <v>0.02</v>
          </cell>
          <cell r="I86">
            <v>1</v>
          </cell>
          <cell r="J86" t="str">
            <v>Collalaborate with HR to define a clear career roadmap for individual growth by Q3 2025.</v>
          </cell>
          <cell r="L86" t="str">
            <v>ADEJUMOKE AJALA</v>
          </cell>
        </row>
        <row r="87">
          <cell r="A87">
            <v>5</v>
          </cell>
          <cell r="B87" t="str">
            <v>PAT00003</v>
          </cell>
          <cell r="C87" t="str">
            <v xml:space="preserve">OMONIYI AKINOLA </v>
          </cell>
          <cell r="D87" t="str">
            <v>Senior Key Accounts Manager</v>
          </cell>
          <cell r="F87" t="str">
            <v>Enhance Commercial Team Performance, Career Growth, and Retention</v>
          </cell>
          <cell r="H87">
            <v>0.01</v>
          </cell>
          <cell r="I87" t="str">
            <v>Impl</v>
          </cell>
          <cell r="J87" t="str">
            <v>Implement strategies to retain top commercial talent, ensuring attrition of junior personnel does not exceed 5%.</v>
          </cell>
          <cell r="L87" t="str">
            <v>ADEJUMOKE AJALA</v>
          </cell>
        </row>
        <row r="88">
          <cell r="A88">
            <v>5</v>
          </cell>
          <cell r="B88" t="str">
            <v>PAT00003</v>
          </cell>
          <cell r="C88" t="str">
            <v xml:space="preserve">OMONIYI AKINOLA </v>
          </cell>
          <cell r="D88" t="str">
            <v>Senior Key Accounts Manager</v>
          </cell>
          <cell r="E88" t="str">
            <v>Ensure Seamless Commercial Integration and Business Continuity Post-ENL Acquisition</v>
          </cell>
          <cell r="F88" t="str">
            <v>Ensure Seamless Commercial Integration and Business Continuity Post-ENL Acquisition</v>
          </cell>
          <cell r="G88">
            <v>0.05</v>
          </cell>
          <cell r="H88">
            <v>0.02</v>
          </cell>
          <cell r="I88">
            <v>1</v>
          </cell>
          <cell r="J88" t="str">
            <v>Ensure a smooth transition of commercial contracts and agreements post-ENL acquisition, with 100% contract review and alignment completed by Q3 2025.</v>
          </cell>
          <cell r="L88" t="str">
            <v>ADEJUMOKE AJALA</v>
          </cell>
        </row>
        <row r="89">
          <cell r="A89">
            <v>5</v>
          </cell>
          <cell r="B89" t="str">
            <v>PAT00003</v>
          </cell>
          <cell r="C89" t="str">
            <v xml:space="preserve">OMONIYI AKINOLA </v>
          </cell>
          <cell r="D89" t="str">
            <v>Senior Key Accounts Manager</v>
          </cell>
          <cell r="F89" t="str">
            <v>Ensure Seamless Commercial Integration and Business Continuity Post-ENL Acquisition</v>
          </cell>
          <cell r="H89">
            <v>0.01</v>
          </cell>
          <cell r="I89">
            <v>0</v>
          </cell>
          <cell r="J89" t="str">
            <v>Work closely with Finance and Operations to consolidate and optimize ENL’s customer accounts, ensuring zero revenue leakage and streamlined billing processes.</v>
          </cell>
          <cell r="L89" t="str">
            <v>ADEJUMOKE AJALA</v>
          </cell>
        </row>
        <row r="90">
          <cell r="A90">
            <v>5</v>
          </cell>
          <cell r="B90" t="str">
            <v>PAT00003</v>
          </cell>
          <cell r="C90" t="str">
            <v xml:space="preserve">OMONIYI AKINOLA </v>
          </cell>
          <cell r="D90" t="str">
            <v>Senior Key Accounts Manager</v>
          </cell>
          <cell r="F90" t="str">
            <v>Ensure Seamless Commercial Integration and Business Continuity Post-ENL Acquisition</v>
          </cell>
          <cell r="H90">
            <v>0.01</v>
          </cell>
          <cell r="I90" t="str">
            <v>Impl</v>
          </cell>
          <cell r="J90" t="str">
            <v>Provide commercial input for ENL’s financial and operational integration plan, ensuring alignment with PAT’s revenue and growth targets.</v>
          </cell>
          <cell r="L90" t="str">
            <v>ADEJUMOKE AJALA</v>
          </cell>
        </row>
        <row r="91">
          <cell r="A91">
            <v>5</v>
          </cell>
          <cell r="B91" t="str">
            <v>PAT00003</v>
          </cell>
          <cell r="C91" t="str">
            <v xml:space="preserve">OMONIYI AKINOLA </v>
          </cell>
          <cell r="D91" t="str">
            <v>Senior Key Accounts Manager</v>
          </cell>
          <cell r="F91" t="str">
            <v>Ensure Seamless Commercial Integration and Business Continuity Post-ENL Acquisition</v>
          </cell>
          <cell r="H91">
            <v>0.01</v>
          </cell>
          <cell r="I91" t="str">
            <v>oversight</v>
          </cell>
          <cell r="J91" t="str">
            <v>Ensure commercial oversight in ENL’s business continuity strategy, mitigating customer churn and maintaining service quality during the transition.</v>
          </cell>
          <cell r="L91" t="str">
            <v>ADEJUMOKE AJALA</v>
          </cell>
        </row>
        <row r="92">
          <cell r="A92">
            <v>6</v>
          </cell>
          <cell r="B92" t="str">
            <v>PAT00020</v>
          </cell>
          <cell r="C92" t="str">
            <v>NWABUKO KALU</v>
          </cell>
          <cell r="D92" t="str">
            <v>Radio Frequency Specialist</v>
          </cell>
          <cell r="E92" t="str">
            <v xml:space="preserve">Reach commercial objectives </v>
          </cell>
          <cell r="F92" t="str">
            <v xml:space="preserve">Reach commercial objectives </v>
          </cell>
          <cell r="G92">
            <v>0.5</v>
          </cell>
          <cell r="H92">
            <v>0.3</v>
          </cell>
          <cell r="I92">
            <v>80</v>
          </cell>
          <cell r="J92" t="str">
            <v>Onboard 80 new BTS sites by Q4 2025, ensuring full operational readiness.</v>
          </cell>
          <cell r="L92" t="str">
            <v>ABIMBOLA FALOPE</v>
          </cell>
        </row>
        <row r="93">
          <cell r="A93">
            <v>6</v>
          </cell>
          <cell r="B93" t="str">
            <v>PAT00020</v>
          </cell>
          <cell r="C93" t="str">
            <v>NWABUKO KALU</v>
          </cell>
          <cell r="D93" t="str">
            <v>Radio Frequency Specialist</v>
          </cell>
          <cell r="F93" t="str">
            <v xml:space="preserve">Reach commercial objectives </v>
          </cell>
          <cell r="H93">
            <v>0.2</v>
          </cell>
          <cell r="I93">
            <v>150</v>
          </cell>
          <cell r="J93" t="str">
            <v>Onboard 150 new colo sites by Q4 2025, securing tenant commitments before launch.</v>
          </cell>
          <cell r="L93" t="str">
            <v>ABIMBOLA FALOPE</v>
          </cell>
        </row>
        <row r="94">
          <cell r="A94">
            <v>6</v>
          </cell>
          <cell r="B94" t="str">
            <v>PAT00020</v>
          </cell>
          <cell r="C94" t="str">
            <v>NWABUKO KALU</v>
          </cell>
          <cell r="D94" t="str">
            <v>Radio Frequency Specialist</v>
          </cell>
          <cell r="E94" t="str">
            <v>Increase revenue and strengthen commercial agreementsthrough contract renegotiation</v>
          </cell>
          <cell r="F94" t="str">
            <v>Increase revenue and strengthen commercial agreementsthrough contract renegotiation</v>
          </cell>
          <cell r="G94">
            <v>0.2</v>
          </cell>
          <cell r="H94">
            <v>0.04</v>
          </cell>
          <cell r="I94">
            <v>1</v>
          </cell>
          <cell r="J94" t="str">
            <v>Successfully conclude MTN contract renegotiation by Q2 2025, ensuring improved financial and operational terms.</v>
          </cell>
          <cell r="L94" t="str">
            <v>ABIMBOLA FALOPE</v>
          </cell>
        </row>
        <row r="95">
          <cell r="A95">
            <v>6</v>
          </cell>
          <cell r="B95" t="str">
            <v>PAT00020</v>
          </cell>
          <cell r="C95" t="str">
            <v>NWABUKO KALU</v>
          </cell>
          <cell r="D95" t="str">
            <v>Radio Frequency Specialist</v>
          </cell>
          <cell r="F95" t="str">
            <v>Increase revenue and strengthen commercial agreementsthrough contract renegotiation</v>
          </cell>
          <cell r="H95">
            <v>0.04</v>
          </cell>
          <cell r="I95" t="str">
            <v>Nego</v>
          </cell>
          <cell r="J95" t="str">
            <v>Negotiate improved Airtel contract terms beyond the 2024 agreements by Q4 2025.</v>
          </cell>
          <cell r="L95" t="str">
            <v>ABIMBOLA FALOPE</v>
          </cell>
        </row>
        <row r="96">
          <cell r="A96">
            <v>6</v>
          </cell>
          <cell r="B96" t="str">
            <v>PAT00020</v>
          </cell>
          <cell r="C96" t="str">
            <v>NWABUKO KALU</v>
          </cell>
          <cell r="D96" t="str">
            <v>Radio Frequency Specialist</v>
          </cell>
          <cell r="F96" t="str">
            <v>Increase revenue and strengthen commercial agreementsthrough contract renegotiation</v>
          </cell>
          <cell r="J96" t="str">
            <v>Complete a full site audit by Q3 2025 to:</v>
          </cell>
          <cell r="L96" t="str">
            <v>ABIMBOLA FALOPE</v>
          </cell>
        </row>
        <row r="97">
          <cell r="A97">
            <v>6</v>
          </cell>
          <cell r="B97" t="str">
            <v>PAT00020</v>
          </cell>
          <cell r="C97" t="str">
            <v>NWABUKO KALU</v>
          </cell>
          <cell r="D97" t="str">
            <v>Radio Frequency Specialist</v>
          </cell>
          <cell r="F97" t="str">
            <v>Increase revenue and strengthen commercial agreementsthrough contract renegotiation</v>
          </cell>
          <cell r="H97">
            <v>0.08</v>
          </cell>
          <cell r="I97" t="str">
            <v>Iden</v>
          </cell>
          <cell r="J97" t="str">
            <v>Identify customer equipment across all sites.</v>
          </cell>
          <cell r="L97" t="str">
            <v>ABIMBOLA FALOPE</v>
          </cell>
        </row>
        <row r="98">
          <cell r="A98">
            <v>6</v>
          </cell>
          <cell r="B98" t="str">
            <v>PAT00020</v>
          </cell>
          <cell r="C98" t="str">
            <v>NWABUKO KALU</v>
          </cell>
          <cell r="D98" t="str">
            <v>Radio Frequency Specialist</v>
          </cell>
          <cell r="F98" t="str">
            <v>Increase revenue and strengthen commercial agreementsthrough contract renegotiation</v>
          </cell>
          <cell r="H98">
            <v>0.04</v>
          </cell>
          <cell r="J98" t="str">
            <v>Ensure full billing for underbilled sites.</v>
          </cell>
          <cell r="L98" t="str">
            <v>ABIMBOLA FALOPE</v>
          </cell>
        </row>
        <row r="99">
          <cell r="A99">
            <v>6</v>
          </cell>
          <cell r="B99" t="str">
            <v>PAT00020</v>
          </cell>
          <cell r="C99" t="str">
            <v>NWABUKO KALU</v>
          </cell>
          <cell r="D99" t="str">
            <v>Radio Frequency Specialist</v>
          </cell>
          <cell r="E99" t="str">
            <v>Enhance Billing Accuracy and Revenue Assurance</v>
          </cell>
          <cell r="F99" t="str">
            <v>Enhance Billing Accuracy and Revenue Assurance</v>
          </cell>
          <cell r="G99">
            <v>0.1</v>
          </cell>
          <cell r="H99">
            <v>0.02</v>
          </cell>
          <cell r="I99">
            <v>1</v>
          </cell>
          <cell r="J99" t="str">
            <v>Achieve 100% accuracy in invoice submissions by Q4 2025, including:</v>
          </cell>
          <cell r="L99" t="str">
            <v>ABIMBOLA FALOPE</v>
          </cell>
        </row>
        <row r="100">
          <cell r="A100">
            <v>6</v>
          </cell>
          <cell r="B100" t="str">
            <v>PAT00020</v>
          </cell>
          <cell r="C100" t="str">
            <v>NWABUKO KALU</v>
          </cell>
          <cell r="D100" t="str">
            <v>Radio Frequency Specialist</v>
          </cell>
          <cell r="F100" t="str">
            <v>Enhance Billing Accuracy and Revenue Assurance</v>
          </cell>
          <cell r="H100">
            <v>7.0000000000000007E-2</v>
          </cell>
          <cell r="I100">
            <v>1</v>
          </cell>
          <cell r="J100" t="str">
            <v>Full and optimal billing for excess power in favor of PAT.</v>
          </cell>
          <cell r="L100" t="str">
            <v>ABIMBOLA FALOPE</v>
          </cell>
        </row>
        <row r="101">
          <cell r="A101">
            <v>6</v>
          </cell>
          <cell r="B101" t="str">
            <v>PAT00020</v>
          </cell>
          <cell r="C101" t="str">
            <v>NWABUKO KALU</v>
          </cell>
          <cell r="D101" t="str">
            <v>Radio Frequency Specialist</v>
          </cell>
          <cell r="F101" t="str">
            <v>Enhance Billing Accuracy and Revenue Assurance</v>
          </cell>
          <cell r="H101">
            <v>0.01</v>
          </cell>
          <cell r="I101">
            <v>1</v>
          </cell>
          <cell r="J101" t="str">
            <v>Complete reconciliation of invoices for 100% of sites.</v>
          </cell>
          <cell r="L101" t="str">
            <v>ABIMBOLA FALOPE</v>
          </cell>
        </row>
        <row r="102">
          <cell r="A102">
            <v>6</v>
          </cell>
          <cell r="B102" t="str">
            <v>PAT00020</v>
          </cell>
          <cell r="C102" t="str">
            <v>NWABUKO KALU</v>
          </cell>
          <cell r="D102" t="str">
            <v>Radio Frequency Specialist</v>
          </cell>
          <cell r="E102" t="str">
            <v xml:space="preserve">Ensure high satisfaction from customers </v>
          </cell>
          <cell r="F102" t="str">
            <v xml:space="preserve">Ensure high satisfaction from customers </v>
          </cell>
          <cell r="G102">
            <v>0.1</v>
          </cell>
          <cell r="H102">
            <v>7.4999999999999997E-2</v>
          </cell>
          <cell r="I102">
            <v>0.85</v>
          </cell>
          <cell r="J102" t="str">
            <v>Achieve 85% customer satisfaction score through surveys and interviews by Q4 2025.</v>
          </cell>
          <cell r="L102" t="str">
            <v>ABIMBOLA FALOPE</v>
          </cell>
        </row>
        <row r="103">
          <cell r="A103">
            <v>6</v>
          </cell>
          <cell r="B103" t="str">
            <v>PAT00020</v>
          </cell>
          <cell r="C103" t="str">
            <v>NWABUKO KALU</v>
          </cell>
          <cell r="D103" t="str">
            <v>Radio Frequency Specialist</v>
          </cell>
          <cell r="F103" t="str">
            <v xml:space="preserve">Ensure high satisfaction from customers </v>
          </cell>
          <cell r="H103">
            <v>2.5000000000000001E-2</v>
          </cell>
          <cell r="I103">
            <v>0.04</v>
          </cell>
          <cell r="J103" t="str">
            <v>Conduct quarterly customer feedback sessions to identify areas for service improvement.</v>
          </cell>
          <cell r="L103" t="str">
            <v>ABIMBOLA FALOPE</v>
          </cell>
        </row>
        <row r="104">
          <cell r="A104">
            <v>6</v>
          </cell>
          <cell r="B104" t="str">
            <v>PAT00020</v>
          </cell>
          <cell r="C104" t="str">
            <v>NWABUKO KALU</v>
          </cell>
          <cell r="D104" t="str">
            <v>Radio Frequency Specialist</v>
          </cell>
          <cell r="E104" t="str">
            <v>Enhance Commercial Team Performance, Career Growth, and Retention</v>
          </cell>
          <cell r="F104" t="str">
            <v>Enhance Commercial Team Performance, Career Growth, and Retention</v>
          </cell>
          <cell r="G104">
            <v>0.05</v>
          </cell>
          <cell r="H104">
            <v>0.03</v>
          </cell>
          <cell r="I104">
            <v>1</v>
          </cell>
          <cell r="J104" t="str">
            <v>Ensure OKRs is set and aligned with business goals by the end of April 2025.</v>
          </cell>
          <cell r="L104" t="str">
            <v>ABIMBOLA FALOPE</v>
          </cell>
        </row>
        <row r="105">
          <cell r="A105">
            <v>6</v>
          </cell>
          <cell r="B105" t="str">
            <v>PAT00020</v>
          </cell>
          <cell r="C105" t="str">
            <v>NWABUKO KALU</v>
          </cell>
          <cell r="D105" t="str">
            <v>Radio Frequency Specialist</v>
          </cell>
          <cell r="F105" t="str">
            <v>Enhance Commercial Team Performance, Career Growth, and Retention</v>
          </cell>
          <cell r="H105">
            <v>0.02</v>
          </cell>
          <cell r="I105">
            <v>1</v>
          </cell>
          <cell r="J105" t="str">
            <v>Collaborate with HR to define a clear career roadmap for individual growth by Q3 2025.</v>
          </cell>
          <cell r="L105" t="str">
            <v>ABIMBOLA FALOPE</v>
          </cell>
        </row>
        <row r="106">
          <cell r="A106">
            <v>6</v>
          </cell>
          <cell r="B106" t="str">
            <v>PAT00020</v>
          </cell>
          <cell r="C106" t="str">
            <v>NWABUKO KALU</v>
          </cell>
          <cell r="D106" t="str">
            <v>Radio Frequency Specialist</v>
          </cell>
          <cell r="E106" t="str">
            <v>Ensure Seamless Commercial Integration and Business Continuity Post-ENL Acquisition</v>
          </cell>
          <cell r="F106" t="str">
            <v>Ensure Seamless Commercial Integration and Business Continuity Post-ENL Acquisition</v>
          </cell>
          <cell r="G106">
            <v>0.05</v>
          </cell>
          <cell r="H106">
            <v>0.02</v>
          </cell>
          <cell r="I106">
            <v>1</v>
          </cell>
          <cell r="J106" t="str">
            <v>Ensure a smooth transition of commercial contracts and agreements post-ENL acquisition, with 100% contract review and alignment completed by Q3 2025.</v>
          </cell>
          <cell r="L106" t="str">
            <v>ABIMBOLA FALOPE</v>
          </cell>
        </row>
        <row r="107">
          <cell r="A107">
            <v>6</v>
          </cell>
          <cell r="B107" t="str">
            <v>PAT00020</v>
          </cell>
          <cell r="C107" t="str">
            <v>NWABUKO KALU</v>
          </cell>
          <cell r="D107" t="str">
            <v>Radio Frequency Specialist</v>
          </cell>
          <cell r="F107" t="str">
            <v>Ensure Seamless Commercial Integration and Business Continuity Post-ENL Acquisition</v>
          </cell>
          <cell r="H107">
            <v>0.01</v>
          </cell>
          <cell r="I107">
            <v>0</v>
          </cell>
          <cell r="J107" t="str">
            <v>Work closely with Finance and Operations to consolidate and optimize ENL’s customer accounts, ensuring zero revenue leakage and streamlined billing processes.</v>
          </cell>
          <cell r="L107" t="str">
            <v>ABIMBOLA FALOPE</v>
          </cell>
        </row>
        <row r="108">
          <cell r="A108">
            <v>6</v>
          </cell>
          <cell r="B108" t="str">
            <v>PAT00020</v>
          </cell>
          <cell r="C108" t="str">
            <v>NWABUKO KALU</v>
          </cell>
          <cell r="D108" t="str">
            <v>Radio Frequency Specialist</v>
          </cell>
          <cell r="F108" t="str">
            <v>Ensure Seamless Commercial Integration and Business Continuity Post-ENL Acquisition</v>
          </cell>
          <cell r="H108">
            <v>0.01</v>
          </cell>
          <cell r="I108" t="str">
            <v>Impl</v>
          </cell>
          <cell r="J108" t="str">
            <v>Provide commercial input for ENL’s financial and operational integration plan, ensuring alignment with PAT’s revenue and growth targets.</v>
          </cell>
          <cell r="L108" t="str">
            <v>ABIMBOLA FALOPE</v>
          </cell>
        </row>
        <row r="109">
          <cell r="A109">
            <v>6</v>
          </cell>
          <cell r="B109" t="str">
            <v>PAT00020</v>
          </cell>
          <cell r="C109" t="str">
            <v>NWABUKO KALU</v>
          </cell>
          <cell r="D109" t="str">
            <v>Radio Frequency Specialist</v>
          </cell>
          <cell r="F109" t="str">
            <v>Ensure Seamless Commercial Integration and Business Continuity Post-ENL Acquisition</v>
          </cell>
          <cell r="H109">
            <v>0.01</v>
          </cell>
          <cell r="I109" t="str">
            <v>oversight</v>
          </cell>
          <cell r="J109" t="str">
            <v>Ensure commercial oversight in ENL’s business continuity strategy, mitigating customer churn and maintaining service quality during the transition.</v>
          </cell>
          <cell r="L109" t="str">
            <v>ABIMBOLA FALOPE</v>
          </cell>
        </row>
        <row r="110">
          <cell r="A110">
            <v>7</v>
          </cell>
          <cell r="B110" t="str">
            <v>PAT00164</v>
          </cell>
          <cell r="C110" t="str">
            <v>AJIBOLA OGUNBADEWA</v>
          </cell>
          <cell r="D110" t="str">
            <v>Key Accounts &amp; RF Strategy Lead</v>
          </cell>
          <cell r="E110" t="str">
            <v xml:space="preserve">Reach commercial objectives </v>
          </cell>
          <cell r="F110" t="str">
            <v xml:space="preserve">Reach commercial objectives </v>
          </cell>
          <cell r="G110">
            <v>0.5</v>
          </cell>
          <cell r="H110">
            <v>0.3</v>
          </cell>
          <cell r="I110">
            <v>80</v>
          </cell>
          <cell r="J110" t="str">
            <v>Onboard 80 new BTS sites by Q4 2025, ensuring full operational readiness.</v>
          </cell>
          <cell r="L110" t="str">
            <v>ABIMBOLA FALOPE</v>
          </cell>
        </row>
        <row r="111">
          <cell r="A111">
            <v>7</v>
          </cell>
          <cell r="B111" t="str">
            <v>PAT00164</v>
          </cell>
          <cell r="C111" t="str">
            <v>AJIBOLA OGUNBADEWA</v>
          </cell>
          <cell r="D111" t="str">
            <v>Key Accounts &amp; RF Strategy Lead</v>
          </cell>
          <cell r="F111" t="str">
            <v xml:space="preserve">Reach commercial objectives </v>
          </cell>
          <cell r="H111">
            <v>0.2</v>
          </cell>
          <cell r="I111">
            <v>150</v>
          </cell>
          <cell r="J111" t="str">
            <v>Onboard 150 new colo sites by Q4 2025, securing tenant commitments before launch.</v>
          </cell>
          <cell r="L111" t="str">
            <v>ABIMBOLA FALOPE</v>
          </cell>
        </row>
        <row r="112">
          <cell r="A112">
            <v>7</v>
          </cell>
          <cell r="B112" t="str">
            <v>PAT00164</v>
          </cell>
          <cell r="C112" t="str">
            <v>AJIBOLA OGUNBADEWA</v>
          </cell>
          <cell r="D112" t="str">
            <v>Key Accounts &amp; RF Strategy Lead</v>
          </cell>
          <cell r="E112" t="str">
            <v>Increase revenue and strengthen commercial agreementsthrough contract renegotiation</v>
          </cell>
          <cell r="F112" t="str">
            <v>Increase revenue and strengthen commercial agreementsthrough contract renegotiation</v>
          </cell>
          <cell r="G112">
            <v>0.2</v>
          </cell>
          <cell r="H112">
            <v>0.09</v>
          </cell>
          <cell r="I112">
            <v>1</v>
          </cell>
          <cell r="J112" t="str">
            <v>Successfully conclude MTN contract renegotiation by Q2 2025, ensuring improved financial and operational terms.</v>
          </cell>
          <cell r="L112" t="str">
            <v>ABIMBOLA FALOPE</v>
          </cell>
        </row>
        <row r="113">
          <cell r="A113">
            <v>7</v>
          </cell>
          <cell r="B113" t="str">
            <v>PAT00164</v>
          </cell>
          <cell r="C113" t="str">
            <v>AJIBOLA OGUNBADEWA</v>
          </cell>
          <cell r="D113" t="str">
            <v>Key Accounts &amp; RF Strategy Lead</v>
          </cell>
          <cell r="F113" t="str">
            <v>Increase revenue and strengthen commercial agreementsthrough contract renegotiation</v>
          </cell>
          <cell r="J113" t="str">
            <v>Complete a full site audit by Q3 2025 to:</v>
          </cell>
          <cell r="L113" t="str">
            <v>ABIMBOLA FALOPE</v>
          </cell>
        </row>
        <row r="114">
          <cell r="A114">
            <v>7</v>
          </cell>
          <cell r="B114" t="str">
            <v>PAT00164</v>
          </cell>
          <cell r="C114" t="str">
            <v>AJIBOLA OGUNBADEWA</v>
          </cell>
          <cell r="D114" t="str">
            <v>Key Accounts &amp; RF Strategy Lead</v>
          </cell>
          <cell r="F114" t="str">
            <v>Increase revenue and strengthen commercial agreementsthrough contract renegotiation</v>
          </cell>
          <cell r="H114">
            <v>7.0000000000000007E-2</v>
          </cell>
          <cell r="I114" t="str">
            <v>Iden</v>
          </cell>
          <cell r="J114" t="str">
            <v>Identify customer equipment across all sites.</v>
          </cell>
          <cell r="L114" t="str">
            <v>ABIMBOLA FALOPE</v>
          </cell>
        </row>
        <row r="115">
          <cell r="A115">
            <v>7</v>
          </cell>
          <cell r="B115" t="str">
            <v>PAT00164</v>
          </cell>
          <cell r="C115" t="str">
            <v>AJIBOLA OGUNBADEWA</v>
          </cell>
          <cell r="D115" t="str">
            <v>Key Accounts &amp; RF Strategy Lead</v>
          </cell>
          <cell r="F115" t="str">
            <v>Increase revenue and strengthen commercial agreementsthrough contract renegotiation</v>
          </cell>
          <cell r="H115">
            <v>0.04</v>
          </cell>
          <cell r="J115" t="str">
            <v>Ensure full billing for underbilled sites.</v>
          </cell>
          <cell r="L115" t="str">
            <v>ABIMBOLA FALOPE</v>
          </cell>
        </row>
        <row r="116">
          <cell r="A116">
            <v>7</v>
          </cell>
          <cell r="B116" t="str">
            <v>PAT00164</v>
          </cell>
          <cell r="C116" t="str">
            <v>AJIBOLA OGUNBADEWA</v>
          </cell>
          <cell r="D116" t="str">
            <v>Key Accounts &amp; RF Strategy Lead</v>
          </cell>
          <cell r="E116" t="str">
            <v>Enhance Billing Accuracy and Revenue Assurance</v>
          </cell>
          <cell r="F116" t="str">
            <v>Enhance Billing Accuracy and Revenue Assurance</v>
          </cell>
          <cell r="G116">
            <v>0.1</v>
          </cell>
          <cell r="H116">
            <v>0.02</v>
          </cell>
          <cell r="I116">
            <v>1</v>
          </cell>
          <cell r="J116" t="str">
            <v>Achieve 100% accuracy in invoice submissions by Q4 2025, including:</v>
          </cell>
          <cell r="L116" t="str">
            <v>ABIMBOLA FALOPE</v>
          </cell>
        </row>
        <row r="117">
          <cell r="A117">
            <v>7</v>
          </cell>
          <cell r="B117" t="str">
            <v>PAT00164</v>
          </cell>
          <cell r="C117" t="str">
            <v>AJIBOLA OGUNBADEWA</v>
          </cell>
          <cell r="D117" t="str">
            <v>Key Accounts &amp; RF Strategy Lead</v>
          </cell>
          <cell r="F117" t="str">
            <v>Enhance Billing Accuracy and Revenue Assurance</v>
          </cell>
          <cell r="H117">
            <v>7.0000000000000007E-2</v>
          </cell>
          <cell r="I117">
            <v>1</v>
          </cell>
          <cell r="J117" t="str">
            <v>Full and optimal billing for excess power in favor of PAT.</v>
          </cell>
          <cell r="L117" t="str">
            <v>ABIMBOLA FALOPE</v>
          </cell>
        </row>
        <row r="118">
          <cell r="A118">
            <v>7</v>
          </cell>
          <cell r="B118" t="str">
            <v>PAT00164</v>
          </cell>
          <cell r="C118" t="str">
            <v>AJIBOLA OGUNBADEWA</v>
          </cell>
          <cell r="D118" t="str">
            <v>Key Accounts &amp; RF Strategy Lead</v>
          </cell>
          <cell r="F118" t="str">
            <v>Enhance Billing Accuracy and Revenue Assurance</v>
          </cell>
          <cell r="H118">
            <v>0.01</v>
          </cell>
          <cell r="I118">
            <v>1</v>
          </cell>
          <cell r="J118" t="str">
            <v>Complete reconciliation of invoices for 100% of sites.</v>
          </cell>
          <cell r="L118" t="str">
            <v>ABIMBOLA FALOPE</v>
          </cell>
        </row>
        <row r="119">
          <cell r="A119">
            <v>7</v>
          </cell>
          <cell r="B119" t="str">
            <v>PAT00164</v>
          </cell>
          <cell r="C119" t="str">
            <v>AJIBOLA OGUNBADEWA</v>
          </cell>
          <cell r="D119" t="str">
            <v>Key Accounts &amp; RF Strategy Lead</v>
          </cell>
          <cell r="E119" t="str">
            <v xml:space="preserve">Ensure high satisfaction from customers </v>
          </cell>
          <cell r="F119" t="str">
            <v xml:space="preserve">Ensure high satisfaction from customers </v>
          </cell>
          <cell r="G119">
            <v>0.1</v>
          </cell>
          <cell r="H119">
            <v>7.4999999999999997E-2</v>
          </cell>
          <cell r="I119">
            <v>0.85</v>
          </cell>
          <cell r="J119" t="str">
            <v>Achieve 85% customer satisfaction score through surveys and interviews by Q4 2025.</v>
          </cell>
          <cell r="L119" t="str">
            <v>ABIMBOLA FALOPE</v>
          </cell>
        </row>
        <row r="120">
          <cell r="A120">
            <v>7</v>
          </cell>
          <cell r="B120" t="str">
            <v>PAT00164</v>
          </cell>
          <cell r="C120" t="str">
            <v>AJIBOLA OGUNBADEWA</v>
          </cell>
          <cell r="D120" t="str">
            <v>Key Accounts &amp; RF Strategy Lead</v>
          </cell>
          <cell r="F120" t="str">
            <v xml:space="preserve">Ensure high satisfaction from customers </v>
          </cell>
          <cell r="H120">
            <v>2.5000000000000001E-2</v>
          </cell>
          <cell r="I120">
            <v>0.04</v>
          </cell>
          <cell r="J120" t="str">
            <v>Conduct quarterly customer feedback sessions to identify areas for service improvement.</v>
          </cell>
          <cell r="L120" t="str">
            <v>ABIMBOLA FALOPE</v>
          </cell>
        </row>
        <row r="121">
          <cell r="A121">
            <v>7</v>
          </cell>
          <cell r="B121" t="str">
            <v>PAT00164</v>
          </cell>
          <cell r="C121" t="str">
            <v>AJIBOLA OGUNBADEWA</v>
          </cell>
          <cell r="D121" t="str">
            <v>Key Accounts &amp; RF Strategy Lead</v>
          </cell>
          <cell r="E121" t="str">
            <v>Enhance Commercial Team Performance, Career Growth, and Retention</v>
          </cell>
          <cell r="F121" t="str">
            <v>Enhance Commercial Team Performance, Career Growth, and Retention</v>
          </cell>
          <cell r="G121">
            <v>0.05</v>
          </cell>
          <cell r="H121">
            <v>0.02</v>
          </cell>
          <cell r="I121">
            <v>1</v>
          </cell>
          <cell r="J121" t="str">
            <v>Ensure all commercial staff have OKRs set and aligned with business goals by the end of April 2025.</v>
          </cell>
          <cell r="L121" t="str">
            <v>ABIMBOLA FALOPE</v>
          </cell>
        </row>
        <row r="122">
          <cell r="A122">
            <v>7</v>
          </cell>
          <cell r="B122" t="str">
            <v>PAT00164</v>
          </cell>
          <cell r="C122" t="str">
            <v>AJIBOLA OGUNBADEWA</v>
          </cell>
          <cell r="D122" t="str">
            <v>Key Accounts &amp; RF Strategy Lead</v>
          </cell>
          <cell r="F122" t="str">
            <v>Enhance Commercial Team Performance, Career Growth, and Retention</v>
          </cell>
          <cell r="H122">
            <v>0.02</v>
          </cell>
          <cell r="I122">
            <v>1</v>
          </cell>
          <cell r="J122" t="str">
            <v>Collaborate with HR to define a clear career roadmap for all non-field commercial positions and ensure 100% adoption within the team by Q3 2025.</v>
          </cell>
          <cell r="L122" t="str">
            <v>ABIMBOLA FALOPE</v>
          </cell>
        </row>
        <row r="123">
          <cell r="A123">
            <v>7</v>
          </cell>
          <cell r="B123" t="str">
            <v>PAT00164</v>
          </cell>
          <cell r="C123" t="str">
            <v>AJIBOLA OGUNBADEWA</v>
          </cell>
          <cell r="D123" t="str">
            <v>Key Accounts &amp; RF Strategy Lead</v>
          </cell>
          <cell r="F123" t="str">
            <v>Enhance Commercial Team Performance, Career Growth, and Retention</v>
          </cell>
          <cell r="H123">
            <v>0.01</v>
          </cell>
          <cell r="I123" t="str">
            <v>Impl</v>
          </cell>
          <cell r="J123" t="str">
            <v>Implement strategies to retain top commercial talent, ensuring attrition of senior personnel does not exceed 5%.</v>
          </cell>
          <cell r="L123" t="str">
            <v>ABIMBOLA FALOPE</v>
          </cell>
        </row>
        <row r="124">
          <cell r="A124">
            <v>7</v>
          </cell>
          <cell r="B124" t="str">
            <v>PAT00164</v>
          </cell>
          <cell r="C124" t="str">
            <v>AJIBOLA OGUNBADEWA</v>
          </cell>
          <cell r="D124" t="str">
            <v>Key Accounts &amp; RF Strategy Lead</v>
          </cell>
          <cell r="E124" t="str">
            <v>Ensure Seamless Commercial Integration and Business Continuity Post-ENL Acquisition</v>
          </cell>
          <cell r="F124" t="str">
            <v>Ensure Seamless Commercial Integration and Business Continuity Post-ENL Acquisition</v>
          </cell>
          <cell r="G124">
            <v>0.05</v>
          </cell>
          <cell r="H124">
            <v>0.02</v>
          </cell>
          <cell r="I124">
            <v>1</v>
          </cell>
          <cell r="J124" t="str">
            <v>Ensure a smooth transition of commercial contracts and agreements post-ENL acquisition, with 100% contract review and alignment completed by Q3 2025.</v>
          </cell>
          <cell r="L124" t="str">
            <v>ABIMBOLA FALOPE</v>
          </cell>
        </row>
        <row r="125">
          <cell r="A125">
            <v>7</v>
          </cell>
          <cell r="B125" t="str">
            <v>PAT00164</v>
          </cell>
          <cell r="C125" t="str">
            <v>AJIBOLA OGUNBADEWA</v>
          </cell>
          <cell r="D125" t="str">
            <v>Key Accounts &amp; RF Strategy Lead</v>
          </cell>
          <cell r="F125" t="str">
            <v>Ensure Seamless Commercial Integration and Business Continuity Post-ENL Acquisition</v>
          </cell>
          <cell r="H125">
            <v>0.01</v>
          </cell>
          <cell r="I125">
            <v>0</v>
          </cell>
          <cell r="J125" t="str">
            <v>Work closely with Finance and Operations to consolidate and optimize ENL’s customer accounts, ensuring zero revenue leakage and streamlined billing processes.</v>
          </cell>
          <cell r="L125" t="str">
            <v>ABIMBOLA FALOPE</v>
          </cell>
        </row>
        <row r="126">
          <cell r="A126">
            <v>7</v>
          </cell>
          <cell r="B126" t="str">
            <v>PAT00164</v>
          </cell>
          <cell r="C126" t="str">
            <v>AJIBOLA OGUNBADEWA</v>
          </cell>
          <cell r="D126" t="str">
            <v>Key Accounts &amp; RF Strategy Lead</v>
          </cell>
          <cell r="F126" t="str">
            <v>Ensure Seamless Commercial Integration and Business Continuity Post-ENL Acquisition</v>
          </cell>
          <cell r="H126">
            <v>0.01</v>
          </cell>
          <cell r="I126" t="str">
            <v>Impl</v>
          </cell>
          <cell r="J126" t="str">
            <v>Provide commercial input for ENL’s financial and operational integration plan, ensuring alignment with PAT’s revenue and growth targets.</v>
          </cell>
          <cell r="L126" t="str">
            <v>ABIMBOLA FALOPE</v>
          </cell>
        </row>
        <row r="127">
          <cell r="A127">
            <v>7</v>
          </cell>
          <cell r="B127" t="str">
            <v>PAT00164</v>
          </cell>
          <cell r="C127" t="str">
            <v>AJIBOLA OGUNBADEWA</v>
          </cell>
          <cell r="D127" t="str">
            <v>Key Accounts &amp; RF Strategy Lead</v>
          </cell>
          <cell r="F127" t="str">
            <v>Ensure Seamless Commercial Integration and Business Continuity Post-ENL Acquisition</v>
          </cell>
          <cell r="H127">
            <v>0.01</v>
          </cell>
          <cell r="I127" t="str">
            <v>oversight</v>
          </cell>
          <cell r="J127" t="str">
            <v>Ensure commercial oversight in ENL’s business continuity strategy, mitigating customer churn and maintaining service quality during the transition.</v>
          </cell>
          <cell r="L127" t="str">
            <v>ABIMBOLA FALOPE</v>
          </cell>
        </row>
        <row r="128">
          <cell r="A128">
            <v>8</v>
          </cell>
          <cell r="B128" t="str">
            <v>PAT00030</v>
          </cell>
          <cell r="C128" t="str">
            <v>JESUDARE KASEEM</v>
          </cell>
          <cell r="D128" t="str">
            <v>HRBP</v>
          </cell>
          <cell r="E128" t="str">
            <v>Ensure high-priority roles are staffed with best-fit candidates</v>
          </cell>
          <cell r="F128" t="str">
            <v>Ensure high-priority roles are staffed with best-fit candidates</v>
          </cell>
          <cell r="G128">
            <v>0.25</v>
          </cell>
          <cell r="H128">
            <v>0.1</v>
          </cell>
          <cell r="J128" t="str">
            <v>Maintain a minimum 90% retention rate for high-priority roles within the first year.</v>
          </cell>
          <cell r="L128" t="str">
            <v>NNEAMAKA DIKE</v>
          </cell>
        </row>
        <row r="129">
          <cell r="A129">
            <v>8</v>
          </cell>
          <cell r="B129" t="str">
            <v>PAT00030</v>
          </cell>
          <cell r="C129" t="str">
            <v>JESUDARE KASEEM</v>
          </cell>
          <cell r="D129" t="str">
            <v>HRBP</v>
          </cell>
          <cell r="F129" t="str">
            <v>Ensure high-priority roles are staffed with best-fit candidates</v>
          </cell>
          <cell r="H129">
            <v>0.15</v>
          </cell>
          <cell r="J129" t="str">
            <v>Achieve maximum time to hire of 2 months on senior positions</v>
          </cell>
          <cell r="L129" t="str">
            <v>NNEAMAKA DIKE</v>
          </cell>
        </row>
        <row r="130">
          <cell r="A130">
            <v>8</v>
          </cell>
          <cell r="B130" t="str">
            <v>PAT00030</v>
          </cell>
          <cell r="C130" t="str">
            <v>JESUDARE KASEEM</v>
          </cell>
          <cell r="D130" t="str">
            <v>HRBP</v>
          </cell>
          <cell r="E130" t="str">
            <v>Ensure ongoing improvement and continuous upskilling of workforce</v>
          </cell>
          <cell r="F130" t="str">
            <v>Ensure ongoing improvement and continuous upskilling of workforce</v>
          </cell>
          <cell r="G130">
            <v>0.25</v>
          </cell>
          <cell r="H130">
            <v>0.15</v>
          </cell>
          <cell r="J130" t="str">
            <v>Ensure 85% of employees complete at least 4 training programs per year.</v>
          </cell>
          <cell r="L130" t="str">
            <v>NNEAMAKA DIKE</v>
          </cell>
        </row>
        <row r="131">
          <cell r="A131">
            <v>8</v>
          </cell>
          <cell r="B131" t="str">
            <v>PAT00030</v>
          </cell>
          <cell r="C131" t="str">
            <v>JESUDARE KASEEM</v>
          </cell>
          <cell r="D131" t="str">
            <v>HRBP</v>
          </cell>
          <cell r="E131" t="str">
            <v>Ensure ongoing improvement and continuous upskilling of workforce</v>
          </cell>
          <cell r="F131" t="str">
            <v>Ensure ongoing improvement and continuous upskilling of workforce</v>
          </cell>
          <cell r="H131">
            <v>0.1</v>
          </cell>
          <cell r="J131" t="str">
            <v xml:space="preserve">Achieve 80% self reported upskilling post trainings </v>
          </cell>
          <cell r="L131" t="str">
            <v>NNEAMAKA DIKE</v>
          </cell>
        </row>
        <row r="132">
          <cell r="A132">
            <v>8</v>
          </cell>
          <cell r="B132" t="str">
            <v>PAT00030</v>
          </cell>
          <cell r="C132" t="str">
            <v>JESUDARE KASEEM</v>
          </cell>
          <cell r="D132" t="str">
            <v>HRBP</v>
          </cell>
          <cell r="E132" t="str">
            <v>Ensure PAT is the employer of choice for existing and future employees</v>
          </cell>
          <cell r="F132" t="str">
            <v>Ensure PAT is the employer of choice for existing and future employees</v>
          </cell>
          <cell r="G132">
            <v>0.15</v>
          </cell>
          <cell r="H132">
            <v>0.05</v>
          </cell>
          <cell r="J132" t="str">
            <v>Improve employee engagement scores by at least 15% annually.</v>
          </cell>
          <cell r="L132" t="str">
            <v>NNEAMAKA DIKE</v>
          </cell>
        </row>
        <row r="133">
          <cell r="A133">
            <v>8</v>
          </cell>
          <cell r="B133" t="str">
            <v>PAT00030</v>
          </cell>
          <cell r="C133" t="str">
            <v>JESUDARE KASEEM</v>
          </cell>
          <cell r="D133" t="str">
            <v>HRBP</v>
          </cell>
          <cell r="F133" t="str">
            <v>Ensure PAT is the employer of choice for existing and future employees</v>
          </cell>
          <cell r="H133">
            <v>0.05</v>
          </cell>
          <cell r="J133" t="str">
            <v>Achieve at least 80% positive responses in the bi-annual employee satisfaction survey.</v>
          </cell>
          <cell r="L133" t="str">
            <v>NNEAMAKA DIKE</v>
          </cell>
        </row>
        <row r="134">
          <cell r="A134">
            <v>8</v>
          </cell>
          <cell r="B134" t="str">
            <v>PAT00030</v>
          </cell>
          <cell r="C134" t="str">
            <v>JESUDARE KASEEM</v>
          </cell>
          <cell r="D134" t="str">
            <v>HRBP</v>
          </cell>
          <cell r="F134" t="str">
            <v>Ensure PAT is the employer of choice for existing and future employees</v>
          </cell>
          <cell r="H134">
            <v>0.05</v>
          </cell>
          <cell r="J134" t="str">
            <v>Reduce voluntary attrition rate to below 10%.</v>
          </cell>
          <cell r="L134" t="str">
            <v>NNEAMAKA DIKE</v>
          </cell>
        </row>
        <row r="135">
          <cell r="A135">
            <v>8</v>
          </cell>
          <cell r="B135" t="str">
            <v>PAT00030</v>
          </cell>
          <cell r="C135" t="str">
            <v>JESUDARE KASEEM</v>
          </cell>
          <cell r="D135" t="str">
            <v>HRBP</v>
          </cell>
          <cell r="E135" t="str">
            <v>Enhance the management and accuracy of employee records and candidate interview data</v>
          </cell>
          <cell r="F135" t="str">
            <v>Enhance the management and accuracy of employee records and candidate interview data</v>
          </cell>
          <cell r="G135">
            <v>0.35</v>
          </cell>
          <cell r="H135">
            <v>0.15</v>
          </cell>
          <cell r="J135" t="str">
            <v>Achieve 100% accuracy in employee records by the end of Q3</v>
          </cell>
          <cell r="L135" t="str">
            <v>NNEAMAKA DIKE</v>
          </cell>
        </row>
        <row r="136">
          <cell r="A136">
            <v>8</v>
          </cell>
          <cell r="B136" t="str">
            <v>PAT00030</v>
          </cell>
          <cell r="C136" t="str">
            <v>JESUDARE KASEEM</v>
          </cell>
          <cell r="D136" t="str">
            <v>HRBP</v>
          </cell>
          <cell r="F136" t="str">
            <v>Enhance the management and accuracy of employee records and candidate interview data</v>
          </cell>
          <cell r="H136">
            <v>0.05</v>
          </cell>
          <cell r="J136" t="str">
            <v>Ensure 90% of the interview feedback forms are completed within 48hrs for each interview</v>
          </cell>
          <cell r="L136" t="str">
            <v>NNEAMAKA DIKE</v>
          </cell>
        </row>
        <row r="137">
          <cell r="A137">
            <v>8</v>
          </cell>
          <cell r="B137" t="str">
            <v>PAT00030</v>
          </cell>
          <cell r="C137" t="str">
            <v>JESUDARE KASEEM</v>
          </cell>
          <cell r="D137" t="str">
            <v>HRBP</v>
          </cell>
          <cell r="F137" t="str">
            <v>Enhance the management and accuracy of employee records and candidate interview data</v>
          </cell>
          <cell r="H137">
            <v>0.1</v>
          </cell>
          <cell r="J137" t="str">
            <v>Ensure 90% of field related disclinary matters are completed within procedural timelines</v>
          </cell>
          <cell r="L137" t="str">
            <v>NNEAMAKA DIKE</v>
          </cell>
        </row>
        <row r="138">
          <cell r="A138">
            <v>8</v>
          </cell>
          <cell r="B138" t="str">
            <v>PAT00030</v>
          </cell>
          <cell r="C138" t="str">
            <v>JESUDARE KASEEM</v>
          </cell>
          <cell r="D138" t="str">
            <v>HRBP</v>
          </cell>
          <cell r="F138" t="str">
            <v>Enhance the management and accuracy of employee records and candidate interview data</v>
          </cell>
          <cell r="H138">
            <v>0.05</v>
          </cell>
          <cell r="J138" t="str">
            <v>Ensure closure of fieled exit procedures within 48hrs of exit notification</v>
          </cell>
          <cell r="L138" t="str">
            <v>NNEAMAKA DIKE</v>
          </cell>
        </row>
        <row r="139">
          <cell r="A139">
            <v>9</v>
          </cell>
          <cell r="B139" t="str">
            <v>PAT00036</v>
          </cell>
          <cell r="C139" t="str">
            <v>KEHINDE ODUWOLE</v>
          </cell>
          <cell r="D139" t="str">
            <v>HRBP</v>
          </cell>
          <cell r="E139" t="str">
            <v>Ensure high-priority roles are staffed with best-fit candidates</v>
          </cell>
          <cell r="F139" t="str">
            <v>Ensure high-priority roles are staffed with best-fit candidates</v>
          </cell>
          <cell r="G139">
            <v>0.1</v>
          </cell>
          <cell r="H139">
            <v>0.1</v>
          </cell>
          <cell r="J139" t="str">
            <v>Maintain a minimum 90% retention rate for high-priority roles within the first year.</v>
          </cell>
          <cell r="L139" t="str">
            <v>ANYEBE ANEBI</v>
          </cell>
        </row>
        <row r="140">
          <cell r="A140">
            <v>9</v>
          </cell>
          <cell r="B140" t="str">
            <v>PAT00036</v>
          </cell>
          <cell r="C140" t="str">
            <v>KEHINDE ODUWOLE</v>
          </cell>
          <cell r="D140" t="str">
            <v>HRBP</v>
          </cell>
          <cell r="E140" t="str">
            <v>Ensure ongoing improvement and continuous upskilling of workforce</v>
          </cell>
          <cell r="F140" t="str">
            <v>Ensure ongoing improvement and continuous upskilling of workforce</v>
          </cell>
          <cell r="G140">
            <v>0.3</v>
          </cell>
          <cell r="H140">
            <v>0.1</v>
          </cell>
          <cell r="J140" t="str">
            <v xml:space="preserve">Create a learning path to all non field staff to enable upskilling in their respective areas of expertise </v>
          </cell>
          <cell r="L140" t="str">
            <v>ANYEBE ANEBI</v>
          </cell>
        </row>
        <row r="141">
          <cell r="A141">
            <v>9</v>
          </cell>
          <cell r="B141" t="str">
            <v>PAT00036</v>
          </cell>
          <cell r="C141" t="str">
            <v>KEHINDE ODUWOLE</v>
          </cell>
          <cell r="D141" t="str">
            <v>HRBP</v>
          </cell>
          <cell r="F141" t="str">
            <v>Ensure ongoing improvement and continuous upskilling of workforce</v>
          </cell>
          <cell r="H141">
            <v>0.1</v>
          </cell>
          <cell r="J141" t="str">
            <v>Ensure 85% of your assigned employees complete at least 4 training programs per year.</v>
          </cell>
          <cell r="L141" t="str">
            <v>ANYEBE ANEBI</v>
          </cell>
        </row>
        <row r="142">
          <cell r="A142">
            <v>9</v>
          </cell>
          <cell r="B142" t="str">
            <v>PAT00036</v>
          </cell>
          <cell r="C142" t="str">
            <v>KEHINDE ODUWOLE</v>
          </cell>
          <cell r="D142" t="str">
            <v>HRBP</v>
          </cell>
          <cell r="F142" t="str">
            <v>Ensure ongoing improvement and continuous upskilling of workforce</v>
          </cell>
          <cell r="H142">
            <v>0.1</v>
          </cell>
          <cell r="J142" t="str">
            <v xml:space="preserve">Achieve 80% self reported upskilling post trainings </v>
          </cell>
          <cell r="L142" t="str">
            <v>ANYEBE ANEBI</v>
          </cell>
        </row>
        <row r="143">
          <cell r="A143">
            <v>9</v>
          </cell>
          <cell r="B143" t="str">
            <v>PAT00036</v>
          </cell>
          <cell r="C143" t="str">
            <v>KEHINDE ODUWOLE</v>
          </cell>
          <cell r="D143" t="str">
            <v>HRBP</v>
          </cell>
          <cell r="E143" t="str">
            <v>Ensure PAT is the employer of choice for existing and future employees</v>
          </cell>
          <cell r="F143" t="str">
            <v>Ensure PAT is the employer of choice for existing and future employees</v>
          </cell>
          <cell r="G143">
            <v>0.25</v>
          </cell>
          <cell r="H143">
            <v>0.05</v>
          </cell>
          <cell r="J143" t="str">
            <v>Improve employee engagement scores by at least 15% annually.</v>
          </cell>
          <cell r="L143" t="str">
            <v>ANYEBE ANEBI</v>
          </cell>
        </row>
        <row r="144">
          <cell r="A144">
            <v>9</v>
          </cell>
          <cell r="B144" t="str">
            <v>PAT00036</v>
          </cell>
          <cell r="C144" t="str">
            <v>KEHINDE ODUWOLE</v>
          </cell>
          <cell r="D144" t="str">
            <v>HRBP</v>
          </cell>
          <cell r="F144" t="str">
            <v>Ensure PAT is the employer of choice for existing and future employees</v>
          </cell>
          <cell r="H144">
            <v>0.05</v>
          </cell>
          <cell r="J144" t="str">
            <v>Achieve at least 80% positive responses in the bi-annual employee satisfaction survey.</v>
          </cell>
          <cell r="L144" t="str">
            <v>ANYEBE ANEBI</v>
          </cell>
        </row>
        <row r="145">
          <cell r="A145">
            <v>9</v>
          </cell>
          <cell r="B145" t="str">
            <v>PAT00036</v>
          </cell>
          <cell r="C145" t="str">
            <v>KEHINDE ODUWOLE</v>
          </cell>
          <cell r="D145" t="str">
            <v>HRBP</v>
          </cell>
          <cell r="F145" t="str">
            <v>Ensure PAT is the employer of choice for existing and future employees</v>
          </cell>
          <cell r="H145">
            <v>0.1</v>
          </cell>
          <cell r="J145" t="str">
            <v>Ensure 100% of employee health related escalations are resolved withing 48hrs</v>
          </cell>
          <cell r="L145" t="str">
            <v>ANYEBE ANEBI</v>
          </cell>
        </row>
        <row r="146">
          <cell r="A146">
            <v>9</v>
          </cell>
          <cell r="B146" t="str">
            <v>PAT00036</v>
          </cell>
          <cell r="C146" t="str">
            <v>KEHINDE ODUWOLE</v>
          </cell>
          <cell r="D146" t="str">
            <v>HRBP</v>
          </cell>
          <cell r="F146" t="str">
            <v>Ensure PAT is the employer of choice for existing and future employees</v>
          </cell>
          <cell r="H146">
            <v>0.05</v>
          </cell>
          <cell r="J146" t="str">
            <v>Reduce voluntary attrition rate to below 10%.</v>
          </cell>
          <cell r="L146" t="str">
            <v>ANYEBE ANEBI</v>
          </cell>
        </row>
        <row r="147">
          <cell r="A147">
            <v>9</v>
          </cell>
          <cell r="B147" t="str">
            <v>PAT00036</v>
          </cell>
          <cell r="C147" t="str">
            <v>KEHINDE ODUWOLE</v>
          </cell>
          <cell r="D147" t="str">
            <v>HRBP</v>
          </cell>
          <cell r="E147" t="str">
            <v>Enhance the management and accuracy of employee records and candidate interview data</v>
          </cell>
          <cell r="F147" t="str">
            <v>Enhance the management and accuracy of employee records and candidate interview data</v>
          </cell>
          <cell r="G147">
            <v>0.15</v>
          </cell>
          <cell r="H147">
            <v>0.15</v>
          </cell>
          <cell r="J147" t="str">
            <v>Achieve 100% accuracy in employee records by the end of Q3</v>
          </cell>
          <cell r="L147" t="str">
            <v>ANYEBE ANEBI</v>
          </cell>
        </row>
        <row r="148">
          <cell r="A148">
            <v>9</v>
          </cell>
          <cell r="B148" t="str">
            <v>PAT00036</v>
          </cell>
          <cell r="C148" t="str">
            <v>KEHINDE ODUWOLE</v>
          </cell>
          <cell r="D148" t="str">
            <v>HRBP</v>
          </cell>
          <cell r="F148" t="str">
            <v>Enhance the management and accuracy of employee records and candidate interview data</v>
          </cell>
          <cell r="G148">
            <v>0.15</v>
          </cell>
          <cell r="H148">
            <v>0.15</v>
          </cell>
          <cell r="J148" t="str">
            <v>Ensure 90% of non-field related disclinary matters are completed within procedural timelines</v>
          </cell>
          <cell r="L148" t="str">
            <v>ANYEBE ANEBI</v>
          </cell>
        </row>
        <row r="149">
          <cell r="A149">
            <v>9</v>
          </cell>
          <cell r="B149" t="str">
            <v>PAT00036</v>
          </cell>
          <cell r="C149" t="str">
            <v>KEHINDE ODUWOLE</v>
          </cell>
          <cell r="D149" t="str">
            <v>HRBP</v>
          </cell>
          <cell r="E149" t="str">
            <v>Ensure clear performance and career expectations for all staff</v>
          </cell>
          <cell r="F149" t="str">
            <v>Ensure clear performance and career expectations for all staff</v>
          </cell>
          <cell r="G149">
            <v>0.1</v>
          </cell>
          <cell r="H149">
            <v>0.1</v>
          </cell>
          <cell r="J149" t="str">
            <v>Achieve 100% compliance with performance management cycles (Ensure 90% of staff complete bi-annual 360-Degree feedback).</v>
          </cell>
          <cell r="L149" t="str">
            <v>ANYEBE ANEBI</v>
          </cell>
        </row>
        <row r="150">
          <cell r="A150">
            <v>10</v>
          </cell>
          <cell r="B150" t="str">
            <v>PAT00172</v>
          </cell>
          <cell r="C150" t="str">
            <v>ANYEBE ANEBI</v>
          </cell>
          <cell r="D150" t="str">
            <v xml:space="preserve">Head Compensation &amp; Benefits </v>
          </cell>
          <cell r="E150" t="str">
            <v>Ensure high-priority roles are staffed with best-fit candidates</v>
          </cell>
          <cell r="F150" t="str">
            <v>Ensure high-priority roles are staffed with best-fit candidates</v>
          </cell>
          <cell r="H150">
            <v>0.1</v>
          </cell>
          <cell r="J150" t="str">
            <v>Maintain a minimum 90% retention rate for high-priority roles within the first year.</v>
          </cell>
          <cell r="L150" t="str">
            <v>CHISOM NDUKWE</v>
          </cell>
        </row>
        <row r="151">
          <cell r="A151">
            <v>10</v>
          </cell>
          <cell r="B151" t="str">
            <v>PAT00172</v>
          </cell>
          <cell r="C151" t="str">
            <v>ANYEBE ANEBI</v>
          </cell>
          <cell r="D151" t="str">
            <v xml:space="preserve">Head Compensation &amp; Benefits </v>
          </cell>
          <cell r="F151" t="str">
            <v>Ensure high-priority roles are staffed with best-fit candidates</v>
          </cell>
          <cell r="H151">
            <v>0.1</v>
          </cell>
          <cell r="J151" t="str">
            <v>Achieve maximum time to hire of 2 months on senior positions</v>
          </cell>
          <cell r="L151" t="str">
            <v>CHISOM NDUKWE</v>
          </cell>
        </row>
        <row r="152">
          <cell r="A152">
            <v>10</v>
          </cell>
          <cell r="B152" t="str">
            <v>PAT00172</v>
          </cell>
          <cell r="C152" t="str">
            <v>ANYEBE ANEBI</v>
          </cell>
          <cell r="D152" t="str">
            <v xml:space="preserve">Head Compensation &amp; Benefits </v>
          </cell>
          <cell r="F152" t="str">
            <v>Ensure high-priority roles are staffed with best-fit candidates</v>
          </cell>
          <cell r="H152">
            <v>0.1</v>
          </cell>
          <cell r="J152" t="str">
            <v>Ensure attrition levels do not exceed 20% for senior personnel</v>
          </cell>
          <cell r="L152" t="str">
            <v>CHISOM NDUKWE</v>
          </cell>
        </row>
        <row r="153">
          <cell r="A153">
            <v>10</v>
          </cell>
          <cell r="B153" t="str">
            <v>PAT00172</v>
          </cell>
          <cell r="C153" t="str">
            <v>ANYEBE ANEBI</v>
          </cell>
          <cell r="D153" t="str">
            <v xml:space="preserve">Head Compensation &amp; Benefits </v>
          </cell>
          <cell r="E153" t="str">
            <v>Ensure clear performance and career expectations for all staff</v>
          </cell>
          <cell r="F153" t="str">
            <v>Ensure clear performance and career expectations for all staff</v>
          </cell>
          <cell r="H153">
            <v>0.1</v>
          </cell>
          <cell r="J153" t="str">
            <v>Ensure 2026 OKRs are in place for all staff by end of Q4. Bottom up sign off by the board in line with the budget.</v>
          </cell>
          <cell r="L153" t="str">
            <v>CHISOM NDUKWE</v>
          </cell>
        </row>
        <row r="154">
          <cell r="A154">
            <v>10</v>
          </cell>
          <cell r="B154" t="str">
            <v>PAT00172</v>
          </cell>
          <cell r="C154" t="str">
            <v>ANYEBE ANEBI</v>
          </cell>
          <cell r="D154" t="str">
            <v xml:space="preserve">Head Compensation &amp; Benefits </v>
          </cell>
          <cell r="E154" t="str">
            <v>Ensure clear performance and career expectations for all staff</v>
          </cell>
          <cell r="F154" t="str">
            <v>Ensure clear performance and career expectations for all staff</v>
          </cell>
          <cell r="H154">
            <v>0.1</v>
          </cell>
          <cell r="J154" t="str">
            <v xml:space="preserve">Ensure OKRs are in place for all staff by end of May 2025 </v>
          </cell>
          <cell r="L154" t="str">
            <v>CHISOM NDUKWE</v>
          </cell>
        </row>
        <row r="155">
          <cell r="A155">
            <v>10</v>
          </cell>
          <cell r="B155" t="str">
            <v>PAT00172</v>
          </cell>
          <cell r="C155" t="str">
            <v>ANYEBE ANEBI</v>
          </cell>
          <cell r="D155" t="str">
            <v xml:space="preserve">Head Compensation &amp; Benefits </v>
          </cell>
          <cell r="E155" t="str">
            <v>Ensure clear performance and career expectations for all staff</v>
          </cell>
          <cell r="F155" t="str">
            <v>Ensure clear performance and career expectations for all staff</v>
          </cell>
          <cell r="H155">
            <v>0.05</v>
          </cell>
          <cell r="J155" t="str">
            <v>Achieve 100% compliance with performance management cycles (mid-year review, Appraisals, 360-Degree feedback)</v>
          </cell>
          <cell r="L155" t="str">
            <v>CHISOM NDUKWE</v>
          </cell>
        </row>
        <row r="156">
          <cell r="A156">
            <v>10</v>
          </cell>
          <cell r="B156" t="str">
            <v>PAT00172</v>
          </cell>
          <cell r="C156" t="str">
            <v>ANYEBE ANEBI</v>
          </cell>
          <cell r="D156" t="str">
            <v xml:space="preserve">Head Compensation &amp; Benefits </v>
          </cell>
          <cell r="E156" t="str">
            <v>Ensure ongoing improvement and continuous upskilling of workforce</v>
          </cell>
          <cell r="F156" t="str">
            <v>Ensure ongoing improvement and continuous upskilling of workforce</v>
          </cell>
          <cell r="H156">
            <v>0.05</v>
          </cell>
          <cell r="J156" t="str">
            <v>Prepare and implement training courses and exams based on company's key policies by end of Q3 2025</v>
          </cell>
          <cell r="L156" t="str">
            <v>CHISOM NDUKWE</v>
          </cell>
        </row>
        <row r="157">
          <cell r="A157">
            <v>10</v>
          </cell>
          <cell r="B157" t="str">
            <v>PAT00172</v>
          </cell>
          <cell r="C157" t="str">
            <v>ANYEBE ANEBI</v>
          </cell>
          <cell r="D157" t="str">
            <v xml:space="preserve">Head Compensation &amp; Benefits </v>
          </cell>
          <cell r="F157" t="str">
            <v>Ensure ongoing improvement and continuous upskilling of workforce</v>
          </cell>
          <cell r="H157">
            <v>0.05</v>
          </cell>
          <cell r="J157" t="str">
            <v>Conduct a training needs analysis annually to inform learning &amp; development plans.</v>
          </cell>
          <cell r="L157" t="str">
            <v>CHISOM NDUKWE</v>
          </cell>
        </row>
        <row r="158">
          <cell r="A158">
            <v>10</v>
          </cell>
          <cell r="B158" t="str">
            <v>PAT00172</v>
          </cell>
          <cell r="C158" t="str">
            <v>ANYEBE ANEBI</v>
          </cell>
          <cell r="D158" t="str">
            <v xml:space="preserve">Head Compensation &amp; Benefits </v>
          </cell>
          <cell r="E158" t="str">
            <v>Ensure PAT is the employer of choice for existing and future employees</v>
          </cell>
          <cell r="F158" t="str">
            <v>Ensure PAT is the employer of choice for existing and future employees</v>
          </cell>
          <cell r="H158">
            <v>0.05</v>
          </cell>
          <cell r="J158" t="str">
            <v>Improve employee engagement scores by at least 15% annually.</v>
          </cell>
          <cell r="L158" t="str">
            <v>CHISOM NDUKWE</v>
          </cell>
        </row>
        <row r="159">
          <cell r="A159">
            <v>10</v>
          </cell>
          <cell r="B159" t="str">
            <v>PAT00172</v>
          </cell>
          <cell r="C159" t="str">
            <v>ANYEBE ANEBI</v>
          </cell>
          <cell r="D159" t="str">
            <v xml:space="preserve">Head Compensation &amp; Benefits </v>
          </cell>
          <cell r="F159" t="str">
            <v>Ensure PAT is the employer of choice for existing and future employees</v>
          </cell>
          <cell r="H159">
            <v>0.05</v>
          </cell>
          <cell r="J159" t="str">
            <v>Achieve at least 80% positive responses in the bi-annual employee satisfaction survey.</v>
          </cell>
          <cell r="L159" t="str">
            <v>CHISOM NDUKWE</v>
          </cell>
        </row>
        <row r="160">
          <cell r="A160">
            <v>10</v>
          </cell>
          <cell r="B160" t="str">
            <v>PAT00172</v>
          </cell>
          <cell r="C160" t="str">
            <v>ANYEBE ANEBI</v>
          </cell>
          <cell r="D160" t="str">
            <v xml:space="preserve">Head Compensation &amp; Benefits </v>
          </cell>
          <cell r="F160" t="str">
            <v>Ensure PAT is the employer of choice for existing and future employees</v>
          </cell>
          <cell r="H160">
            <v>0.1</v>
          </cell>
          <cell r="J160" t="str">
            <v>Launch a culture adoption drive and ensure 80% of staff can identify and understand how to display PAT culture</v>
          </cell>
          <cell r="L160" t="str">
            <v>CHISOM NDUKWE</v>
          </cell>
        </row>
        <row r="161">
          <cell r="A161">
            <v>10</v>
          </cell>
          <cell r="B161" t="str">
            <v>PAT00172</v>
          </cell>
          <cell r="C161" t="str">
            <v>ANYEBE ANEBI</v>
          </cell>
          <cell r="D161" t="str">
            <v xml:space="preserve">Head Compensation &amp; Benefits </v>
          </cell>
          <cell r="F161" t="str">
            <v>Ensure PAT is the employer of choice for existing and future employees</v>
          </cell>
          <cell r="H161">
            <v>0.05</v>
          </cell>
          <cell r="J161" t="str">
            <v>Reduce voluntary attrition rate to below 10%.</v>
          </cell>
          <cell r="L161" t="str">
            <v>CHISOM NDUKWE</v>
          </cell>
        </row>
        <row r="162">
          <cell r="A162">
            <v>10</v>
          </cell>
          <cell r="B162" t="str">
            <v>PAT00172</v>
          </cell>
          <cell r="C162" t="str">
            <v>ANYEBE ANEBI</v>
          </cell>
          <cell r="D162" t="str">
            <v xml:space="preserve">Head Compensation &amp; Benefits </v>
          </cell>
          <cell r="E162" t="str">
            <v>Ensure smooth integration of PAT and ENL teams</v>
          </cell>
          <cell r="F162" t="str">
            <v>Ensure smooth integration of PAT and ENL teams</v>
          </cell>
          <cell r="H162">
            <v>0.1</v>
          </cell>
          <cell r="J162" t="str">
            <v>Complete ENL  post merger integration plan with plan to execute following PAT acquires 100% of ENL</v>
          </cell>
          <cell r="L162" t="str">
            <v>CHISOM NDUKWE</v>
          </cell>
        </row>
        <row r="163">
          <cell r="A163">
            <v>11</v>
          </cell>
          <cell r="B163" t="str">
            <v>PAT00027</v>
          </cell>
          <cell r="C163" t="str">
            <v>CHISOM NDUKWE</v>
          </cell>
          <cell r="D163" t="str">
            <v>Director, Human Resources &amp; Admin</v>
          </cell>
          <cell r="E163" t="str">
            <v>Ensure employee costs do not exceed budget and are in line with company objectives</v>
          </cell>
          <cell r="F163" t="str">
            <v>Ensure employee costs do not exceed budget and are in line with company objectives</v>
          </cell>
          <cell r="G163">
            <v>0.2</v>
          </cell>
          <cell r="H163">
            <v>0.2</v>
          </cell>
          <cell r="J163" t="str">
            <v xml:space="preserve">Ensure employee total costs to company does not exceed budgeted amount  (NGN3,697,446,380) and any increamental cost approved by the board </v>
          </cell>
          <cell r="L163" t="str">
            <v>OLADIPO BADRU</v>
          </cell>
        </row>
        <row r="164">
          <cell r="A164">
            <v>11</v>
          </cell>
          <cell r="B164" t="str">
            <v>PAT00027</v>
          </cell>
          <cell r="C164" t="str">
            <v>CHISOM NDUKWE</v>
          </cell>
          <cell r="D164" t="str">
            <v>Director, Human Resources &amp; Admin</v>
          </cell>
          <cell r="E164" t="str">
            <v>Ensure high-priority roles are staffed with best-fit candidates</v>
          </cell>
          <cell r="F164" t="str">
            <v>Ensure high-priority roles are staffed with best-fit candidates</v>
          </cell>
          <cell r="G164">
            <v>0.2</v>
          </cell>
          <cell r="H164">
            <v>0.1</v>
          </cell>
          <cell r="J164" t="str">
            <v>Maintain a minimum 90% retention rate for high-priority roles within the first year.</v>
          </cell>
          <cell r="L164" t="str">
            <v>OLADIPO BADRU</v>
          </cell>
        </row>
        <row r="165">
          <cell r="A165">
            <v>11</v>
          </cell>
          <cell r="B165" t="str">
            <v>PAT00027</v>
          </cell>
          <cell r="C165" t="str">
            <v>CHISOM NDUKWE</v>
          </cell>
          <cell r="D165" t="str">
            <v>Director, Human Resources &amp; Admin</v>
          </cell>
          <cell r="F165" t="str">
            <v>Ensure high-priority roles are staffed with best-fit candidates</v>
          </cell>
          <cell r="H165">
            <v>0.03</v>
          </cell>
          <cell r="J165" t="str">
            <v>Achieve maximum time to hire of 2 months on senior positions</v>
          </cell>
          <cell r="L165" t="str">
            <v>OLADIPO BADRU</v>
          </cell>
        </row>
        <row r="166">
          <cell r="A166">
            <v>11</v>
          </cell>
          <cell r="B166" t="str">
            <v>PAT00027</v>
          </cell>
          <cell r="C166" t="str">
            <v>CHISOM NDUKWE</v>
          </cell>
          <cell r="D166" t="str">
            <v>Director, Human Resources &amp; Admin</v>
          </cell>
          <cell r="F166" t="str">
            <v>Ensure high-priority roles are staffed with best-fit candidates</v>
          </cell>
          <cell r="H166">
            <v>0.02</v>
          </cell>
          <cell r="J166" t="str">
            <v>Improve diversity ratios in PAT</v>
          </cell>
          <cell r="L166" t="str">
            <v>OLADIPO BADRU</v>
          </cell>
        </row>
        <row r="167">
          <cell r="A167">
            <v>11</v>
          </cell>
          <cell r="B167" t="str">
            <v>PAT00027</v>
          </cell>
          <cell r="C167" t="str">
            <v>CHISOM NDUKWE</v>
          </cell>
          <cell r="D167" t="str">
            <v>Director, Human Resources &amp; Admin</v>
          </cell>
          <cell r="F167" t="str">
            <v>Ensure high-priority roles are staffed with best-fit candidates</v>
          </cell>
          <cell r="H167">
            <v>0.05</v>
          </cell>
          <cell r="J167" t="str">
            <v>Ensure attrition levels do not exceed 20% for senior personnel</v>
          </cell>
          <cell r="L167" t="str">
            <v>OLADIPO BADRU</v>
          </cell>
        </row>
        <row r="168">
          <cell r="A168">
            <v>11</v>
          </cell>
          <cell r="B168" t="str">
            <v>PAT00027</v>
          </cell>
          <cell r="C168" t="str">
            <v>CHISOM NDUKWE</v>
          </cell>
          <cell r="D168" t="str">
            <v>Director, Human Resources &amp; Admin</v>
          </cell>
          <cell r="E168" t="str">
            <v>Ensure clear performance and career expectations for all staff</v>
          </cell>
          <cell r="F168" t="str">
            <v>Ensure clear performance and career expectations for all staff</v>
          </cell>
          <cell r="G168">
            <v>0.2</v>
          </cell>
          <cell r="H168">
            <v>0.04</v>
          </cell>
          <cell r="J168" t="str">
            <v>Ensure 2026 OKRs are in place for all staff by end of Q4. Bottom up sign off by the board in line with the budget.</v>
          </cell>
          <cell r="L168" t="str">
            <v>OLADIPO BADRU</v>
          </cell>
        </row>
        <row r="169">
          <cell r="A169">
            <v>11</v>
          </cell>
          <cell r="B169" t="str">
            <v>PAT00027</v>
          </cell>
          <cell r="C169" t="str">
            <v>CHISOM NDUKWE</v>
          </cell>
          <cell r="D169" t="str">
            <v>Director, Human Resources &amp; Admin</v>
          </cell>
          <cell r="F169" t="str">
            <v>Ensure clear performance and career expectations for all staff</v>
          </cell>
          <cell r="H169">
            <v>0.06</v>
          </cell>
          <cell r="J169" t="str">
            <v xml:space="preserve">Ensure OKRs are in place for all staff by end of May 2025 </v>
          </cell>
          <cell r="L169" t="str">
            <v>OLADIPO BADRU</v>
          </cell>
        </row>
        <row r="170">
          <cell r="A170">
            <v>11</v>
          </cell>
          <cell r="B170" t="str">
            <v>PAT00027</v>
          </cell>
          <cell r="C170" t="str">
            <v>CHISOM NDUKWE</v>
          </cell>
          <cell r="D170" t="str">
            <v>Director, Human Resources &amp; Admin</v>
          </cell>
          <cell r="F170" t="str">
            <v>Ensure clear performance and career expectations for all staff</v>
          </cell>
          <cell r="H170">
            <v>0.04</v>
          </cell>
          <cell r="J170" t="str">
            <v>Achieve 100% compliance with performance management cycles (mid-year review, Appraisals, 360-Degree feedback)</v>
          </cell>
          <cell r="L170" t="str">
            <v>OLADIPO BADRU</v>
          </cell>
        </row>
        <row r="171">
          <cell r="A171">
            <v>11</v>
          </cell>
          <cell r="B171" t="str">
            <v>PAT00027</v>
          </cell>
          <cell r="C171" t="str">
            <v>CHISOM NDUKWE</v>
          </cell>
          <cell r="D171" t="str">
            <v>Director, Human Resources &amp; Admin</v>
          </cell>
          <cell r="F171" t="str">
            <v>Ensure clear performance and career expectations for all staff</v>
          </cell>
          <cell r="H171">
            <v>0.04</v>
          </cell>
          <cell r="J171" t="str">
            <v xml:space="preserve">Create a career roadmap for 100% of all non field  positions </v>
          </cell>
          <cell r="L171" t="str">
            <v>OLADIPO BADRU</v>
          </cell>
        </row>
        <row r="172">
          <cell r="A172">
            <v>11</v>
          </cell>
          <cell r="B172" t="str">
            <v>PAT00027</v>
          </cell>
          <cell r="C172" t="str">
            <v>CHISOM NDUKWE</v>
          </cell>
          <cell r="D172" t="str">
            <v>Director, Human Resources &amp; Admin</v>
          </cell>
          <cell r="F172" t="str">
            <v>Ensure clear performance and career expectations for all staff</v>
          </cell>
          <cell r="H172">
            <v>0.02</v>
          </cell>
          <cell r="J172" t="str">
            <v xml:space="preserve">Target to place bottom ranking staff (i.e. employees with lower than 80% annual rating) on a performance improvement plan </v>
          </cell>
          <cell r="L172" t="str">
            <v>OLADIPO BADRU</v>
          </cell>
        </row>
        <row r="173">
          <cell r="A173">
            <v>11</v>
          </cell>
          <cell r="B173" t="str">
            <v>PAT00027</v>
          </cell>
          <cell r="C173" t="str">
            <v>CHISOM NDUKWE</v>
          </cell>
          <cell r="D173" t="str">
            <v>Director, Human Resources &amp; Admin</v>
          </cell>
          <cell r="E173" t="str">
            <v>Ensure ongoing improvement and continuous upskilling of workforce</v>
          </cell>
          <cell r="F173" t="str">
            <v>Ensure ongoing improvement and continuous upskilling of workforce</v>
          </cell>
          <cell r="G173">
            <v>0.15</v>
          </cell>
          <cell r="H173">
            <v>0.04</v>
          </cell>
          <cell r="J173" t="str">
            <v xml:space="preserve">Create a learning path to all non field staff to enable upskilling in their respective areas of expertise </v>
          </cell>
          <cell r="L173" t="str">
            <v>OLADIPO BADRU</v>
          </cell>
        </row>
        <row r="174">
          <cell r="A174">
            <v>11</v>
          </cell>
          <cell r="B174" t="str">
            <v>PAT00027</v>
          </cell>
          <cell r="C174" t="str">
            <v>CHISOM NDUKWE</v>
          </cell>
          <cell r="D174" t="str">
            <v>Director, Human Resources &amp; Admin</v>
          </cell>
          <cell r="F174" t="str">
            <v>Ensure ongoing improvement and continuous upskilling of workforce</v>
          </cell>
          <cell r="H174">
            <v>0.03</v>
          </cell>
          <cell r="J174" t="str">
            <v>Ensure 85% of employees complete at least 4 training programs per year.</v>
          </cell>
          <cell r="L174" t="str">
            <v>OLADIPO BADRU</v>
          </cell>
        </row>
        <row r="175">
          <cell r="A175">
            <v>11</v>
          </cell>
          <cell r="B175" t="str">
            <v>PAT00027</v>
          </cell>
          <cell r="C175" t="str">
            <v>CHISOM NDUKWE</v>
          </cell>
          <cell r="D175" t="str">
            <v>Director, Human Resources &amp; Admin</v>
          </cell>
          <cell r="F175" t="str">
            <v>Ensure ongoing improvement and continuous upskilling of workforce</v>
          </cell>
          <cell r="H175">
            <v>0.02</v>
          </cell>
          <cell r="J175" t="str">
            <v xml:space="preserve">Achieve 80% self reported upskilling post trainings </v>
          </cell>
          <cell r="L175" t="str">
            <v>OLADIPO BADRU</v>
          </cell>
        </row>
        <row r="176">
          <cell r="A176">
            <v>11</v>
          </cell>
          <cell r="B176" t="str">
            <v>PAT00027</v>
          </cell>
          <cell r="C176" t="str">
            <v>CHISOM NDUKWE</v>
          </cell>
          <cell r="D176" t="str">
            <v>Director, Human Resources &amp; Admin</v>
          </cell>
          <cell r="F176" t="str">
            <v>Ensure ongoing improvement and continuous upskilling of workforce</v>
          </cell>
          <cell r="H176">
            <v>0.03</v>
          </cell>
          <cell r="J176" t="str">
            <v>Prepare and implement training courses and exams based on company's key policies by end of Q3 2025</v>
          </cell>
          <cell r="L176" t="str">
            <v>OLADIPO BADRU</v>
          </cell>
        </row>
        <row r="177">
          <cell r="A177">
            <v>11</v>
          </cell>
          <cell r="B177" t="str">
            <v>PAT00027</v>
          </cell>
          <cell r="C177" t="str">
            <v>CHISOM NDUKWE</v>
          </cell>
          <cell r="D177" t="str">
            <v>Director, Human Resources &amp; Admin</v>
          </cell>
          <cell r="F177" t="str">
            <v>Ensure ongoing improvement and continuous upskilling of workforce</v>
          </cell>
          <cell r="H177">
            <v>0.03</v>
          </cell>
          <cell r="J177" t="str">
            <v>Conduct a training needs analysis annually to inform learning &amp; development plans.</v>
          </cell>
          <cell r="L177" t="str">
            <v>OLADIPO BADRU</v>
          </cell>
        </row>
        <row r="178">
          <cell r="A178">
            <v>11</v>
          </cell>
          <cell r="B178" t="str">
            <v>PAT00027</v>
          </cell>
          <cell r="C178" t="str">
            <v>CHISOM NDUKWE</v>
          </cell>
          <cell r="D178" t="str">
            <v>Director, Human Resources &amp; Admin</v>
          </cell>
          <cell r="E178" t="str">
            <v>Ensure PAT is the employer of choice for existing and future employees</v>
          </cell>
          <cell r="F178" t="str">
            <v>Ensure PAT is the employer of choice for existing and future employees</v>
          </cell>
          <cell r="G178">
            <v>0.15</v>
          </cell>
          <cell r="H178">
            <v>0.02</v>
          </cell>
          <cell r="J178" t="str">
            <v>Improve employee engagement scores by at least 15% annually.</v>
          </cell>
          <cell r="L178" t="str">
            <v>OLADIPO BADRU</v>
          </cell>
        </row>
        <row r="179">
          <cell r="A179">
            <v>11</v>
          </cell>
          <cell r="B179" t="str">
            <v>PAT00027</v>
          </cell>
          <cell r="C179" t="str">
            <v>CHISOM NDUKWE</v>
          </cell>
          <cell r="D179" t="str">
            <v>Director, Human Resources &amp; Admin</v>
          </cell>
          <cell r="F179" t="str">
            <v>Ensure PAT is the employer of choice for existing and future employees</v>
          </cell>
          <cell r="H179">
            <v>0.02</v>
          </cell>
          <cell r="J179" t="str">
            <v>Achieve at least 80% positive responses in the bi-annual employee satisfaction survey.</v>
          </cell>
          <cell r="L179" t="str">
            <v>OLADIPO BADRU</v>
          </cell>
        </row>
        <row r="180">
          <cell r="A180">
            <v>11</v>
          </cell>
          <cell r="B180" t="str">
            <v>PAT00027</v>
          </cell>
          <cell r="C180" t="str">
            <v>CHISOM NDUKWE</v>
          </cell>
          <cell r="D180" t="str">
            <v>Director, Human Resources &amp; Admin</v>
          </cell>
          <cell r="F180" t="str">
            <v>Ensure PAT is the employer of choice for existing and future employees</v>
          </cell>
          <cell r="H180">
            <v>0.05</v>
          </cell>
          <cell r="J180" t="str">
            <v>Launch a culture adoption drive and ensure 80% of staff can identify and understand how to display PAT culture</v>
          </cell>
          <cell r="L180" t="str">
            <v>OLADIPO BADRU</v>
          </cell>
        </row>
        <row r="181">
          <cell r="A181">
            <v>11</v>
          </cell>
          <cell r="B181" t="str">
            <v>PAT00027</v>
          </cell>
          <cell r="C181" t="str">
            <v>CHISOM NDUKWE</v>
          </cell>
          <cell r="D181" t="str">
            <v>Director, Human Resources &amp; Admin</v>
          </cell>
          <cell r="F181" t="str">
            <v>Ensure PAT is the employer of choice for existing and future employees</v>
          </cell>
          <cell r="H181">
            <v>0.06</v>
          </cell>
          <cell r="J181" t="str">
            <v>Reduce voluntary attrition rate to below 10%.</v>
          </cell>
          <cell r="L181" t="str">
            <v>OLADIPO BADRU</v>
          </cell>
        </row>
        <row r="182">
          <cell r="A182">
            <v>11</v>
          </cell>
          <cell r="B182" t="str">
            <v>PAT00027</v>
          </cell>
          <cell r="C182" t="str">
            <v>CHISOM NDUKWE</v>
          </cell>
          <cell r="D182" t="str">
            <v>Director, Human Resources &amp; Admin</v>
          </cell>
          <cell r="E182" t="str">
            <v>Ensure smooth integration of PAT and ENL teams</v>
          </cell>
          <cell r="F182" t="str">
            <v>Ensure smooth integration of PAT and ENL teams</v>
          </cell>
          <cell r="G182">
            <v>0.1</v>
          </cell>
          <cell r="H182">
            <v>0.02</v>
          </cell>
          <cell r="J182" t="str">
            <v>Complete ENL  post merger integration plan with plan to execute following PAT acquires 100% of ENL</v>
          </cell>
          <cell r="L182" t="str">
            <v>OLADIPO BADRU</v>
          </cell>
        </row>
        <row r="183">
          <cell r="A183">
            <v>11</v>
          </cell>
          <cell r="B183" t="str">
            <v>PAT00027</v>
          </cell>
          <cell r="C183" t="str">
            <v>CHISOM NDUKWE</v>
          </cell>
          <cell r="D183" t="str">
            <v>Director, Human Resources &amp; Admin</v>
          </cell>
          <cell r="F183" t="str">
            <v>Ensure smooth integration of PAT and ENL teams</v>
          </cell>
          <cell r="H183">
            <v>0.02</v>
          </cell>
          <cell r="J183" t="str">
            <v>Take control of ENL supervision across all HR processes</v>
          </cell>
          <cell r="L183" t="str">
            <v>OLADIPO BADRU</v>
          </cell>
        </row>
        <row r="184">
          <cell r="A184">
            <v>11</v>
          </cell>
          <cell r="B184" t="str">
            <v>PAT00027</v>
          </cell>
          <cell r="C184" t="str">
            <v>CHISOM NDUKWE</v>
          </cell>
          <cell r="D184" t="str">
            <v>Director, Human Resources &amp; Admin</v>
          </cell>
          <cell r="F184" t="str">
            <v>Ensure smooth integration of PAT and ENL teams</v>
          </cell>
          <cell r="H184">
            <v>0.02</v>
          </cell>
          <cell r="J184" t="str">
            <v>Achieve 90% participation in cultural integration programs within six months.</v>
          </cell>
          <cell r="L184" t="str">
            <v>OLADIPO BADRU</v>
          </cell>
        </row>
        <row r="185">
          <cell r="A185">
            <v>11</v>
          </cell>
          <cell r="B185" t="str">
            <v>PAT00027</v>
          </cell>
          <cell r="C185" t="str">
            <v>CHISOM NDUKWE</v>
          </cell>
          <cell r="D185" t="str">
            <v>Director, Human Resources &amp; Admin</v>
          </cell>
          <cell r="F185" t="str">
            <v>Ensure smooth integration of PAT and ENL teams</v>
          </cell>
          <cell r="H185">
            <v>0.02</v>
          </cell>
          <cell r="J185" t="str">
            <v>Address 100% of reported integration challenges within 30 days.</v>
          </cell>
          <cell r="L185" t="str">
            <v>OLADIPO BADRU</v>
          </cell>
        </row>
        <row r="186">
          <cell r="A186">
            <v>11</v>
          </cell>
          <cell r="B186" t="str">
            <v>PAT00027</v>
          </cell>
          <cell r="C186" t="str">
            <v>CHISOM NDUKWE</v>
          </cell>
          <cell r="D186" t="str">
            <v>Director, Human Resources &amp; Admin</v>
          </cell>
          <cell r="F186" t="str">
            <v>Ensure smooth integration of PAT and ENL teams</v>
          </cell>
          <cell r="H186">
            <v>0.02</v>
          </cell>
          <cell r="J186" t="str">
            <v>Ensure at least 85% of employees report a positive integration experience in post-merger feedback</v>
          </cell>
          <cell r="L186" t="str">
            <v>OLADIPO BADRU</v>
          </cell>
        </row>
        <row r="187">
          <cell r="A187">
            <v>12</v>
          </cell>
          <cell r="B187" t="str">
            <v>PAT00028</v>
          </cell>
          <cell r="C187" t="str">
            <v>NNEAMAKA DIKE</v>
          </cell>
          <cell r="D187" t="str">
            <v>Head HR Business Partnering</v>
          </cell>
          <cell r="E187" t="str">
            <v>Ensure high-priority roles are staffed with best-fit candidates</v>
          </cell>
          <cell r="F187" t="str">
            <v>Ensure high-priority roles are staffed with best-fit candidates</v>
          </cell>
          <cell r="G187">
            <v>0.15</v>
          </cell>
          <cell r="H187">
            <v>0.1</v>
          </cell>
          <cell r="J187" t="str">
            <v>Maintain a minimum 90% retention rate for high-priority roles within the first year.</v>
          </cell>
          <cell r="L187" t="str">
            <v>CHISOM NDUKWE</v>
          </cell>
        </row>
        <row r="188">
          <cell r="A188">
            <v>12</v>
          </cell>
          <cell r="B188" t="str">
            <v>PAT00028</v>
          </cell>
          <cell r="C188" t="str">
            <v>NNEAMAKA DIKE</v>
          </cell>
          <cell r="D188" t="str">
            <v>Head HR Business Partnering</v>
          </cell>
          <cell r="F188" t="str">
            <v>Ensure high-priority roles are staffed with best-fit candidates</v>
          </cell>
          <cell r="H188">
            <v>0.05</v>
          </cell>
          <cell r="J188" t="str">
            <v>Ensure attrition levels do not exceed 20% for senior personnel</v>
          </cell>
          <cell r="L188" t="str">
            <v>CHISOM NDUKWE</v>
          </cell>
        </row>
        <row r="189">
          <cell r="A189">
            <v>12</v>
          </cell>
          <cell r="B189" t="str">
            <v>PAT00028</v>
          </cell>
          <cell r="C189" t="str">
            <v>NNEAMAKA DIKE</v>
          </cell>
          <cell r="D189" t="str">
            <v>Head HR Business Partnering</v>
          </cell>
          <cell r="E189" t="str">
            <v>Ensure clear performance and career expectations for all staff</v>
          </cell>
          <cell r="F189" t="str">
            <v>Ensure clear performance and career expectations for all staff</v>
          </cell>
          <cell r="G189">
            <v>0.25</v>
          </cell>
          <cell r="H189">
            <v>0.1</v>
          </cell>
          <cell r="J189" t="str">
            <v>Achieve 100% compliance with performance management cycles (mid-year review, Appraisals, 360-Degree feedback)</v>
          </cell>
          <cell r="L189" t="str">
            <v>CHISOM NDUKWE</v>
          </cell>
        </row>
        <row r="190">
          <cell r="A190">
            <v>12</v>
          </cell>
          <cell r="B190" t="str">
            <v>PAT00028</v>
          </cell>
          <cell r="C190" t="str">
            <v>NNEAMAKA DIKE</v>
          </cell>
          <cell r="D190" t="str">
            <v>Head HR Business Partnering</v>
          </cell>
          <cell r="F190" t="str">
            <v>Ensure clear performance and career expectations for all staff</v>
          </cell>
          <cell r="H190">
            <v>0.1</v>
          </cell>
          <cell r="J190" t="str">
            <v xml:space="preserve">Create a career roadmap for 100% of all non field  positions </v>
          </cell>
          <cell r="L190" t="str">
            <v>CHISOM NDUKWE</v>
          </cell>
        </row>
        <row r="191">
          <cell r="A191">
            <v>12</v>
          </cell>
          <cell r="B191" t="str">
            <v>PAT00028</v>
          </cell>
          <cell r="C191" t="str">
            <v>NNEAMAKA DIKE</v>
          </cell>
          <cell r="D191" t="str">
            <v>Head HR Business Partnering</v>
          </cell>
          <cell r="F191" t="str">
            <v>Ensure clear performance and career expectations for all staff</v>
          </cell>
          <cell r="H191">
            <v>0.05</v>
          </cell>
          <cell r="J191" t="str">
            <v xml:space="preserve">Target to place bottom ranking staff (i.e. employees with lower than 80% annual rating) on a performance improvement plan </v>
          </cell>
          <cell r="L191" t="str">
            <v>CHISOM NDUKWE</v>
          </cell>
        </row>
        <row r="192">
          <cell r="A192">
            <v>12</v>
          </cell>
          <cell r="B192" t="str">
            <v>PAT00028</v>
          </cell>
          <cell r="C192" t="str">
            <v>NNEAMAKA DIKE</v>
          </cell>
          <cell r="D192" t="str">
            <v>Head HR Business Partnering</v>
          </cell>
          <cell r="E192" t="str">
            <v>Ensure ongoing improvement and continuous upskilling of workforce</v>
          </cell>
          <cell r="F192" t="str">
            <v>Ensure ongoing improvement and continuous upskilling of workforce</v>
          </cell>
          <cell r="G192">
            <v>0.3</v>
          </cell>
          <cell r="H192">
            <v>0.1</v>
          </cell>
          <cell r="J192" t="str">
            <v xml:space="preserve">Create a learning path to all non field staff to enable upskilling in their respective areas of expertise </v>
          </cell>
          <cell r="L192" t="str">
            <v>CHISOM NDUKWE</v>
          </cell>
        </row>
        <row r="193">
          <cell r="A193">
            <v>12</v>
          </cell>
          <cell r="B193" t="str">
            <v>PAT00028</v>
          </cell>
          <cell r="C193" t="str">
            <v>NNEAMAKA DIKE</v>
          </cell>
          <cell r="D193" t="str">
            <v>Head HR Business Partnering</v>
          </cell>
          <cell r="E193" t="str">
            <v>Ensure ongoing improvement and continuous upskilling of workforce</v>
          </cell>
          <cell r="F193" t="str">
            <v>Ensure ongoing improvement and continuous upskilling of workforce</v>
          </cell>
          <cell r="H193">
            <v>0.1</v>
          </cell>
          <cell r="J193" t="str">
            <v>Prepare and implement training courses and exams based on company's key policies by end of Q3 2025</v>
          </cell>
          <cell r="L193" t="str">
            <v>CHISOM NDUKWE</v>
          </cell>
        </row>
        <row r="194">
          <cell r="A194">
            <v>12</v>
          </cell>
          <cell r="B194" t="str">
            <v>PAT00028</v>
          </cell>
          <cell r="C194" t="str">
            <v>NNEAMAKA DIKE</v>
          </cell>
          <cell r="D194" t="str">
            <v>Head HR Business Partnering</v>
          </cell>
          <cell r="E194" t="str">
            <v>Ensure ongoing improvement and continuous upskilling of workforce</v>
          </cell>
          <cell r="F194" t="str">
            <v>Ensure ongoing improvement and continuous upskilling of workforce</v>
          </cell>
          <cell r="H194">
            <v>0.1</v>
          </cell>
          <cell r="J194" t="str">
            <v>Conduct a training needs analysis annually to inform learning &amp; development plans.</v>
          </cell>
          <cell r="L194" t="str">
            <v>CHISOM NDUKWE</v>
          </cell>
        </row>
        <row r="195">
          <cell r="A195">
            <v>12</v>
          </cell>
          <cell r="B195" t="str">
            <v>PAT00028</v>
          </cell>
          <cell r="C195" t="str">
            <v>NNEAMAKA DIKE</v>
          </cell>
          <cell r="D195" t="str">
            <v>Head HR Business Partnering</v>
          </cell>
          <cell r="E195" t="str">
            <v>Ensure PAT is the employer of choice for existing and future employees</v>
          </cell>
          <cell r="F195" t="str">
            <v>Ensure PAT is the employer of choice for existing and future employees</v>
          </cell>
          <cell r="G195">
            <v>0.3</v>
          </cell>
          <cell r="H195">
            <v>0.05</v>
          </cell>
          <cell r="J195" t="str">
            <v>Improve employee engagement scores by at least 15% annually.</v>
          </cell>
          <cell r="L195" t="str">
            <v>CHISOM NDUKWE</v>
          </cell>
        </row>
        <row r="196">
          <cell r="A196">
            <v>12</v>
          </cell>
          <cell r="B196" t="str">
            <v>PAT00028</v>
          </cell>
          <cell r="C196" t="str">
            <v>NNEAMAKA DIKE</v>
          </cell>
          <cell r="D196" t="str">
            <v>Head HR Business Partnering</v>
          </cell>
          <cell r="F196" t="str">
            <v>Ensure PAT is the employer of choice for existing and future employees</v>
          </cell>
          <cell r="H196">
            <v>0.1</v>
          </cell>
          <cell r="J196" t="str">
            <v>Achieve at least 80% positive responses in the bi-annual employee satisfaction survey.</v>
          </cell>
          <cell r="L196" t="str">
            <v>CHISOM NDUKWE</v>
          </cell>
        </row>
        <row r="197">
          <cell r="A197">
            <v>12</v>
          </cell>
          <cell r="B197" t="str">
            <v>PAT00028</v>
          </cell>
          <cell r="C197" t="str">
            <v>NNEAMAKA DIKE</v>
          </cell>
          <cell r="D197" t="str">
            <v>Head HR Business Partnering</v>
          </cell>
          <cell r="F197" t="str">
            <v>Ensure PAT is the employer of choice for existing and future employees</v>
          </cell>
          <cell r="H197">
            <v>0.1</v>
          </cell>
          <cell r="J197" t="str">
            <v>Launch a culture adoption drive and ensure 80% of staff can identify and understand how to display PAT culture</v>
          </cell>
          <cell r="L197" t="str">
            <v>CHISOM NDUKWE</v>
          </cell>
        </row>
        <row r="198">
          <cell r="A198">
            <v>12</v>
          </cell>
          <cell r="B198" t="str">
            <v>PAT00028</v>
          </cell>
          <cell r="C198" t="str">
            <v>NNEAMAKA DIKE</v>
          </cell>
          <cell r="D198" t="str">
            <v>Head HR Business Partnering</v>
          </cell>
          <cell r="F198" t="str">
            <v>Ensure PAT is the employer of choice for existing and future employees</v>
          </cell>
          <cell r="H198">
            <v>0.05</v>
          </cell>
          <cell r="J198" t="str">
            <v>Reduce voluntary attrition rate to below 10%.</v>
          </cell>
          <cell r="L198" t="str">
            <v>CHISOM NDUKWE</v>
          </cell>
        </row>
        <row r="199">
          <cell r="A199">
            <v>13</v>
          </cell>
          <cell r="B199" t="str">
            <v>PAT00048</v>
          </cell>
          <cell r="C199" t="str">
            <v>PAUL OBE</v>
          </cell>
          <cell r="D199" t="str">
            <v>IT Team lead</v>
          </cell>
          <cell r="E199" t="str">
            <v xml:space="preserve">Implement best in class IT tools </v>
          </cell>
          <cell r="F199" t="str">
            <v xml:space="preserve">Implement best in class IT tools </v>
          </cell>
          <cell r="G199">
            <v>0.4</v>
          </cell>
          <cell r="H199">
            <v>0.25</v>
          </cell>
          <cell r="I199" t="str">
            <v>Imp</v>
          </cell>
          <cell r="J199" t="str">
            <v>Implement ERP</v>
          </cell>
          <cell r="L199" t="str">
            <v>ABAYOMI ONITIJU</v>
          </cell>
        </row>
        <row r="200">
          <cell r="A200">
            <v>13</v>
          </cell>
          <cell r="B200" t="str">
            <v>PAT00048</v>
          </cell>
          <cell r="C200" t="str">
            <v>PAUL OBE</v>
          </cell>
          <cell r="D200" t="str">
            <v>IT Team lead</v>
          </cell>
          <cell r="F200" t="str">
            <v xml:space="preserve">Implement best in class IT tools </v>
          </cell>
          <cell r="H200">
            <v>0.15</v>
          </cell>
          <cell r="I200" t="str">
            <v>Imp</v>
          </cell>
          <cell r="J200" t="str">
            <v>Implement HR system</v>
          </cell>
          <cell r="L200" t="str">
            <v>ABAYOMI ONITIJU</v>
          </cell>
        </row>
        <row r="201">
          <cell r="A201">
            <v>13</v>
          </cell>
          <cell r="B201" t="str">
            <v>PAT00048</v>
          </cell>
          <cell r="C201" t="str">
            <v>PAUL OBE</v>
          </cell>
          <cell r="D201" t="str">
            <v>IT Team lead</v>
          </cell>
          <cell r="E201" t="str">
            <v>Ensure provision of effective IT operation support that enables the business to achieve overall corporate objectives</v>
          </cell>
          <cell r="F201" t="str">
            <v>Ensure provision of effective IT operation support that enables the business to achieve overall corporate objectives</v>
          </cell>
          <cell r="G201">
            <v>0.2</v>
          </cell>
          <cell r="H201">
            <v>0.05</v>
          </cell>
          <cell r="I201">
            <v>0.97499999999999998</v>
          </cell>
          <cell r="J201" t="str">
            <v>Maintain 97.5% IT system uptime for critical business applications.</v>
          </cell>
          <cell r="L201" t="str">
            <v>ABAYOMI ONITIJU</v>
          </cell>
        </row>
        <row r="202">
          <cell r="A202">
            <v>13</v>
          </cell>
          <cell r="B202" t="str">
            <v>PAT00048</v>
          </cell>
          <cell r="C202" t="str">
            <v>PAUL OBE</v>
          </cell>
          <cell r="D202" t="str">
            <v>IT Team lead</v>
          </cell>
          <cell r="F202" t="str">
            <v>Ensure provision of effective IT operation support that enables the business to achieve overall corporate objectives</v>
          </cell>
          <cell r="H202">
            <v>0.05</v>
          </cell>
          <cell r="I202" t="str">
            <v>&lt;30%</v>
          </cell>
          <cell r="J202" t="str">
            <v>Reduce IT support ticket resolution time by 30% through improved processes and automation.</v>
          </cell>
          <cell r="L202" t="str">
            <v>ABAYOMI ONITIJU</v>
          </cell>
        </row>
        <row r="203">
          <cell r="A203">
            <v>13</v>
          </cell>
          <cell r="B203" t="str">
            <v>PAT00048</v>
          </cell>
          <cell r="C203" t="str">
            <v>PAUL OBE</v>
          </cell>
          <cell r="D203" t="str">
            <v>IT Team lead</v>
          </cell>
          <cell r="F203" t="str">
            <v>Ensure provision of effective IT operation support that enables the business to achieve overall corporate objectives</v>
          </cell>
          <cell r="H203">
            <v>0.03</v>
          </cell>
          <cell r="I203">
            <v>0.5</v>
          </cell>
          <cell r="J203" t="str">
            <v>Implement a self-service IT helpdesk to resolve at least 50% of IT requests without manual intervention.</v>
          </cell>
          <cell r="L203" t="str">
            <v>ABAYOMI ONITIJU</v>
          </cell>
        </row>
        <row r="204">
          <cell r="A204">
            <v>13</v>
          </cell>
          <cell r="B204" t="str">
            <v>PAT00048</v>
          </cell>
          <cell r="C204" t="str">
            <v>PAUL OBE</v>
          </cell>
          <cell r="D204" t="str">
            <v>IT Team lead</v>
          </cell>
          <cell r="F204" t="str">
            <v>Ensure provision of effective IT operation support that enables the business to achieve overall corporate objectives</v>
          </cell>
          <cell r="H204">
            <v>0.03</v>
          </cell>
          <cell r="I204">
            <v>0.9</v>
          </cell>
          <cell r="J204" t="str">
            <v>Ensure 90% of IT projects are delivered on time and within budget, following best practice frameworks.</v>
          </cell>
          <cell r="L204" t="str">
            <v>ABAYOMI ONITIJU</v>
          </cell>
        </row>
        <row r="205">
          <cell r="A205">
            <v>13</v>
          </cell>
          <cell r="B205" t="str">
            <v>PAT00048</v>
          </cell>
          <cell r="C205" t="str">
            <v>PAUL OBE</v>
          </cell>
          <cell r="D205" t="str">
            <v>IT Team lead</v>
          </cell>
          <cell r="F205" t="str">
            <v>Ensure provision of effective IT operation support that enables the business to achieve overall corporate objectives</v>
          </cell>
          <cell r="H205">
            <v>0.04</v>
          </cell>
          <cell r="I205" t="str">
            <v>&gt;85%</v>
          </cell>
          <cell r="J205" t="str">
            <v>Achieve 85%+ employee satisfaction on IT support services in the bi-annual employee satisfaction survey.</v>
          </cell>
          <cell r="L205" t="str">
            <v>ABAYOMI ONITIJU</v>
          </cell>
        </row>
        <row r="206">
          <cell r="A206">
            <v>13</v>
          </cell>
          <cell r="B206" t="str">
            <v>PAT00048</v>
          </cell>
          <cell r="C206" t="str">
            <v>PAUL OBE</v>
          </cell>
          <cell r="D206" t="str">
            <v>IT Team lead</v>
          </cell>
          <cell r="E206" t="str">
            <v>Ensure PAT processes are automated</v>
          </cell>
          <cell r="F206" t="str">
            <v>Ensure PAT processes are automated</v>
          </cell>
          <cell r="G206">
            <v>0.2</v>
          </cell>
          <cell r="H206">
            <v>7.4999999999999997E-2</v>
          </cell>
          <cell r="I206">
            <v>5</v>
          </cell>
          <cell r="J206" t="str">
            <v xml:space="preserve">Identify and automate at least 5 key manual processes across HR, Finance, and Operations saving X hours </v>
          </cell>
          <cell r="L206" t="str">
            <v>ABAYOMI ONITIJU</v>
          </cell>
        </row>
        <row r="207">
          <cell r="A207">
            <v>13</v>
          </cell>
          <cell r="B207" t="str">
            <v>PAT00048</v>
          </cell>
          <cell r="C207" t="str">
            <v>PAUL OBE</v>
          </cell>
          <cell r="D207" t="str">
            <v>IT Team lead</v>
          </cell>
          <cell r="F207" t="str">
            <v>Ensure PAT processes are automated</v>
          </cell>
          <cell r="H207">
            <v>7.4999999999999997E-2</v>
          </cell>
          <cell r="I207">
            <v>0.4</v>
          </cell>
          <cell r="J207" t="str">
            <v>Reduce process turnaround time by 40% through automation.</v>
          </cell>
          <cell r="L207" t="str">
            <v>ABAYOMI ONITIJU</v>
          </cell>
        </row>
        <row r="208">
          <cell r="A208">
            <v>13</v>
          </cell>
          <cell r="B208" t="str">
            <v>PAT00048</v>
          </cell>
          <cell r="C208" t="str">
            <v>PAUL OBE</v>
          </cell>
          <cell r="D208" t="str">
            <v>IT Team lead</v>
          </cell>
          <cell r="F208" t="str">
            <v>Ensure PAT processes are automated</v>
          </cell>
          <cell r="H208">
            <v>0.03</v>
          </cell>
          <cell r="I208" t="str">
            <v>Imp</v>
          </cell>
          <cell r="J208" t="str">
            <v>Implement an integrated workflow system to track and manage automated processes.</v>
          </cell>
          <cell r="L208" t="str">
            <v>ABAYOMI ONITIJU</v>
          </cell>
        </row>
        <row r="209">
          <cell r="A209">
            <v>13</v>
          </cell>
          <cell r="B209" t="str">
            <v>PAT00048</v>
          </cell>
          <cell r="C209" t="str">
            <v>PAUL OBE</v>
          </cell>
          <cell r="D209" t="str">
            <v>IT Team lead</v>
          </cell>
          <cell r="F209" t="str">
            <v>Ensure PAT processes are automated</v>
          </cell>
          <cell r="H209">
            <v>0.02</v>
          </cell>
          <cell r="I209">
            <v>1</v>
          </cell>
          <cell r="J209" t="str">
            <v xml:space="preserve">Identify and start piloting 1 AI use cases </v>
          </cell>
          <cell r="L209" t="str">
            <v>ABAYOMI ONITIJU</v>
          </cell>
        </row>
        <row r="210">
          <cell r="A210">
            <v>13</v>
          </cell>
          <cell r="B210" t="str">
            <v>PAT00048</v>
          </cell>
          <cell r="C210" t="str">
            <v>PAUL OBE</v>
          </cell>
          <cell r="D210" t="str">
            <v>IT Team lead</v>
          </cell>
          <cell r="E210" t="str">
            <v>Ensure smooth integration of PAT and ENL teams</v>
          </cell>
          <cell r="F210" t="str">
            <v>Ensure smooth integration of PAT and ENL teams</v>
          </cell>
          <cell r="G210">
            <v>0.1</v>
          </cell>
          <cell r="H210">
            <v>3.5000000000000003E-2</v>
          </cell>
          <cell r="I210" t="str">
            <v>Imp</v>
          </cell>
          <cell r="J210" t="str">
            <v>Implement a unified IT infrastructure for PAT and ENL within 6 months.</v>
          </cell>
          <cell r="L210" t="str">
            <v>ABAYOMI ONITIJU</v>
          </cell>
        </row>
        <row r="211">
          <cell r="A211">
            <v>13</v>
          </cell>
          <cell r="B211" t="str">
            <v>PAT00048</v>
          </cell>
          <cell r="C211" t="str">
            <v>PAUL OBE</v>
          </cell>
          <cell r="D211" t="str">
            <v>IT Team lead</v>
          </cell>
          <cell r="F211" t="str">
            <v>Ensure smooth integration of PAT and ENL teams</v>
          </cell>
          <cell r="H211">
            <v>3.5000000000000003E-2</v>
          </cell>
          <cell r="I211">
            <v>1</v>
          </cell>
          <cell r="J211" t="str">
            <v>Standardize IT policies and systems across both organizations, achieving 100% alignment.</v>
          </cell>
          <cell r="L211" t="str">
            <v>ABAYOMI ONITIJU</v>
          </cell>
        </row>
        <row r="212">
          <cell r="A212">
            <v>13</v>
          </cell>
          <cell r="B212" t="str">
            <v>PAT00048</v>
          </cell>
          <cell r="C212" t="str">
            <v>PAUL OBE</v>
          </cell>
          <cell r="D212" t="str">
            <v>IT Team lead</v>
          </cell>
          <cell r="F212" t="str">
            <v>Ensure smooth integration of PAT and ENL teams</v>
          </cell>
          <cell r="H212">
            <v>0.03</v>
          </cell>
          <cell r="I212">
            <v>0</v>
          </cell>
          <cell r="J212" t="str">
            <v>Ensure a seamless transition with zero critical system downtime during the integration.</v>
          </cell>
          <cell r="L212" t="str">
            <v>ABAYOMI ONITIJU</v>
          </cell>
        </row>
        <row r="213">
          <cell r="A213">
            <v>13</v>
          </cell>
          <cell r="B213" t="str">
            <v>PAT00048</v>
          </cell>
          <cell r="C213" t="str">
            <v>PAUL OBE</v>
          </cell>
          <cell r="D213" t="str">
            <v>IT Team lead</v>
          </cell>
          <cell r="E213" t="str">
            <v>Ensure IT systems, processes, and initiatives are structured and implemented in line with best practices</v>
          </cell>
          <cell r="F213" t="str">
            <v>Ensure IT systems, processes, and initiatives are structured and implemented in line with best practices</v>
          </cell>
          <cell r="G213">
            <v>0.1</v>
          </cell>
          <cell r="H213">
            <v>0.05</v>
          </cell>
          <cell r="I213">
            <v>1</v>
          </cell>
          <cell r="J213" t="str">
            <v>Achieve 100% compliance with industry security and data protection standards (e.g., ISO 27001, GDPR).</v>
          </cell>
          <cell r="L213" t="str">
            <v>ABAYOMI ONITIJU</v>
          </cell>
        </row>
        <row r="214">
          <cell r="A214">
            <v>13</v>
          </cell>
          <cell r="B214" t="str">
            <v>PAT00048</v>
          </cell>
          <cell r="C214" t="str">
            <v>PAUL OBE</v>
          </cell>
          <cell r="D214" t="str">
            <v>IT Team lead</v>
          </cell>
          <cell r="F214" t="str">
            <v>Ensure IT systems, processes, and initiatives are structured and implemented in line with best practices</v>
          </cell>
          <cell r="H214">
            <v>0.05</v>
          </cell>
          <cell r="I214">
            <v>2</v>
          </cell>
          <cell r="J214" t="str">
            <v>Conduct two IT audits per year to assess compliance and process efficiency.</v>
          </cell>
          <cell r="L214" t="str">
            <v>ABAYOMI ONITIJU</v>
          </cell>
        </row>
        <row r="215">
          <cell r="A215">
            <v>14</v>
          </cell>
          <cell r="B215" t="str">
            <v>PAT00008</v>
          </cell>
          <cell r="C215" t="str">
            <v>OLUWATONI OLURANTIMI</v>
          </cell>
          <cell r="D215" t="str">
            <v>IT Support Specialist</v>
          </cell>
          <cell r="E215" t="str">
            <v xml:space="preserve">Implement best in class IT tools </v>
          </cell>
          <cell r="F215" t="str">
            <v xml:space="preserve">Implement best in class IT tools </v>
          </cell>
          <cell r="G215">
            <v>0.4</v>
          </cell>
          <cell r="H215">
            <v>0.25</v>
          </cell>
          <cell r="I215" t="str">
            <v>Imp</v>
          </cell>
          <cell r="J215" t="str">
            <v>Implement ERP</v>
          </cell>
          <cell r="L215" t="str">
            <v>ABAYOMI ONITIJU</v>
          </cell>
        </row>
        <row r="216">
          <cell r="A216">
            <v>14</v>
          </cell>
          <cell r="B216" t="str">
            <v>PAT00008</v>
          </cell>
          <cell r="C216" t="str">
            <v>OLUWATONI OLURANTIMI</v>
          </cell>
          <cell r="D216" t="str">
            <v>IT Support Specialist</v>
          </cell>
          <cell r="F216" t="str">
            <v xml:space="preserve">Implement best in class IT tools </v>
          </cell>
          <cell r="G216">
            <v>0.4</v>
          </cell>
          <cell r="H216">
            <v>0.15</v>
          </cell>
          <cell r="I216" t="str">
            <v>Imp</v>
          </cell>
          <cell r="J216" t="str">
            <v>Implement HR system</v>
          </cell>
          <cell r="L216" t="str">
            <v>ABAYOMI ONITIJU</v>
          </cell>
        </row>
        <row r="217">
          <cell r="A217">
            <v>14</v>
          </cell>
          <cell r="B217" t="str">
            <v>PAT00008</v>
          </cell>
          <cell r="C217" t="str">
            <v>OLUWATONI OLURANTIMI</v>
          </cell>
          <cell r="D217" t="str">
            <v>IT Support Specialist</v>
          </cell>
          <cell r="E217" t="str">
            <v>Ensure provision of effective IT operation support that enables the business to achieve overall corporate objectives</v>
          </cell>
          <cell r="F217" t="str">
            <v>Ensure provision of effective IT operation support that enables the business to achieve overall corporate objectives</v>
          </cell>
          <cell r="G217">
            <v>0.15</v>
          </cell>
          <cell r="H217">
            <v>0.05</v>
          </cell>
          <cell r="I217">
            <v>0.97499999999999998</v>
          </cell>
          <cell r="J217" t="str">
            <v>Maintain 97.5% IT system uptime for critical business applications.</v>
          </cell>
          <cell r="L217" t="str">
            <v>ABAYOMI ONITIJU</v>
          </cell>
        </row>
        <row r="218">
          <cell r="A218">
            <v>14</v>
          </cell>
          <cell r="B218" t="str">
            <v>PAT00008</v>
          </cell>
          <cell r="C218" t="str">
            <v>OLUWATONI OLURANTIMI</v>
          </cell>
          <cell r="D218" t="str">
            <v>IT Support Specialist</v>
          </cell>
          <cell r="F218" t="str">
            <v>Ensure provision of effective IT operation support that enables the business to achieve overall corporate objectives</v>
          </cell>
          <cell r="H218">
            <v>0.04</v>
          </cell>
          <cell r="I218" t="str">
            <v>&lt;30%</v>
          </cell>
          <cell r="J218" t="str">
            <v>Reduce IT support ticket resolution time by 30% through improved processes and automation.</v>
          </cell>
          <cell r="L218" t="str">
            <v>ABAYOMI ONITIJU</v>
          </cell>
        </row>
        <row r="219">
          <cell r="A219">
            <v>14</v>
          </cell>
          <cell r="B219" t="str">
            <v>PAT00008</v>
          </cell>
          <cell r="C219" t="str">
            <v>OLUWATONI OLURANTIMI</v>
          </cell>
          <cell r="D219" t="str">
            <v>IT Support Specialist</v>
          </cell>
          <cell r="F219" t="str">
            <v>Ensure provision of effective IT operation support that enables the business to achieve overall corporate objectives</v>
          </cell>
          <cell r="H219">
            <v>0.03</v>
          </cell>
          <cell r="I219">
            <v>0.5</v>
          </cell>
          <cell r="J219" t="str">
            <v>Implement a self-service IT helpdesk to resolve at least 50% of IT requests without manual intervention.</v>
          </cell>
          <cell r="L219" t="str">
            <v>ABAYOMI ONITIJU</v>
          </cell>
        </row>
        <row r="220">
          <cell r="A220">
            <v>14</v>
          </cell>
          <cell r="B220" t="str">
            <v>PAT00008</v>
          </cell>
          <cell r="C220" t="str">
            <v>OLUWATONI OLURANTIMI</v>
          </cell>
          <cell r="D220" t="str">
            <v>IT Support Specialist</v>
          </cell>
          <cell r="F220" t="str">
            <v>Ensure provision of effective IT operation support that enables the business to achieve overall corporate objectives</v>
          </cell>
          <cell r="H220">
            <v>0.03</v>
          </cell>
          <cell r="I220" t="str">
            <v>&gt;85%</v>
          </cell>
          <cell r="J220" t="str">
            <v>Achieve 85%+ employee satisfaction on IT support services in the bi-annual employee satisfaction survey.</v>
          </cell>
          <cell r="L220" t="str">
            <v>ABAYOMI ONITIJU</v>
          </cell>
        </row>
        <row r="221">
          <cell r="A221">
            <v>14</v>
          </cell>
          <cell r="B221" t="str">
            <v>PAT00008</v>
          </cell>
          <cell r="C221" t="str">
            <v>OLUWATONI OLURANTIMI</v>
          </cell>
          <cell r="D221" t="str">
            <v>IT Support Specialist</v>
          </cell>
          <cell r="E221" t="str">
            <v>Ensure PAT processes are automated</v>
          </cell>
          <cell r="F221" t="str">
            <v>Ensure PAT processes are automated</v>
          </cell>
          <cell r="G221">
            <v>0.15</v>
          </cell>
          <cell r="H221">
            <v>0.05</v>
          </cell>
          <cell r="I221">
            <v>5</v>
          </cell>
          <cell r="J221" t="str">
            <v xml:space="preserve">Identify and automate at least 5 key manual processes across HR, Finance, and Operations saving X hours </v>
          </cell>
          <cell r="L221" t="str">
            <v>ABAYOMI ONITIJU</v>
          </cell>
        </row>
        <row r="222">
          <cell r="A222">
            <v>14</v>
          </cell>
          <cell r="B222" t="str">
            <v>PAT00008</v>
          </cell>
          <cell r="C222" t="str">
            <v>OLUWATONI OLURANTIMI</v>
          </cell>
          <cell r="D222" t="str">
            <v>IT Support Specialist</v>
          </cell>
          <cell r="F222" t="str">
            <v>Ensure PAT processes are automated</v>
          </cell>
          <cell r="H222">
            <v>0.05</v>
          </cell>
          <cell r="I222">
            <v>0.4</v>
          </cell>
          <cell r="J222" t="str">
            <v>Reduce process turnaround time by 40% through automation.</v>
          </cell>
          <cell r="L222" t="str">
            <v>ABAYOMI ONITIJU</v>
          </cell>
        </row>
        <row r="223">
          <cell r="A223">
            <v>14</v>
          </cell>
          <cell r="B223" t="str">
            <v>PAT00008</v>
          </cell>
          <cell r="C223" t="str">
            <v>OLUWATONI OLURANTIMI</v>
          </cell>
          <cell r="D223" t="str">
            <v>IT Support Specialist</v>
          </cell>
          <cell r="F223" t="str">
            <v>Ensure PAT processes are automated</v>
          </cell>
          <cell r="H223">
            <v>0.05</v>
          </cell>
          <cell r="I223">
            <v>1</v>
          </cell>
          <cell r="J223" t="str">
            <v>Train 100% of relevant employees on new automated tools and workflows.</v>
          </cell>
          <cell r="L223" t="str">
            <v>ABAYOMI ONITIJU</v>
          </cell>
        </row>
        <row r="224">
          <cell r="A224">
            <v>14</v>
          </cell>
          <cell r="B224" t="str">
            <v>PAT00008</v>
          </cell>
          <cell r="C224" t="str">
            <v>OLUWATONI OLURANTIMI</v>
          </cell>
          <cell r="D224" t="str">
            <v>IT Support Specialist</v>
          </cell>
          <cell r="E224" t="str">
            <v>Ensure smooth integration of PAT and ENL teams</v>
          </cell>
          <cell r="F224" t="str">
            <v>Ensure smooth integration of PAT and ENL teams</v>
          </cell>
          <cell r="G224">
            <v>0.15</v>
          </cell>
          <cell r="H224">
            <v>0.05</v>
          </cell>
          <cell r="I224" t="str">
            <v>Imp</v>
          </cell>
          <cell r="J224" t="str">
            <v>Implement a unified IT infrastructure for PAT and ENL within 6 months.</v>
          </cell>
          <cell r="L224" t="str">
            <v>ABAYOMI ONITIJU</v>
          </cell>
        </row>
        <row r="225">
          <cell r="A225">
            <v>14</v>
          </cell>
          <cell r="B225" t="str">
            <v>PAT00008</v>
          </cell>
          <cell r="C225" t="str">
            <v>OLUWATONI OLURANTIMI</v>
          </cell>
          <cell r="D225" t="str">
            <v>IT Support Specialist</v>
          </cell>
          <cell r="F225" t="str">
            <v>Ensure smooth integration of PAT and ENL teams</v>
          </cell>
          <cell r="H225">
            <v>7.4999999999999997E-2</v>
          </cell>
          <cell r="I225">
            <v>3</v>
          </cell>
          <cell r="J225" t="str">
            <v>Conduct at least 3 joint IT training and onboarding sessions for ENL employees.</v>
          </cell>
          <cell r="L225" t="str">
            <v>ABAYOMI ONITIJU</v>
          </cell>
        </row>
        <row r="226">
          <cell r="A226">
            <v>14</v>
          </cell>
          <cell r="B226" t="str">
            <v>PAT00008</v>
          </cell>
          <cell r="C226" t="str">
            <v>OLUWATONI OLURANTIMI</v>
          </cell>
          <cell r="D226" t="str">
            <v>IT Support Specialist</v>
          </cell>
          <cell r="F226" t="str">
            <v>Ensure smooth integration of PAT and ENL teams</v>
          </cell>
          <cell r="H226">
            <v>2.5000000000000001E-2</v>
          </cell>
          <cell r="I226">
            <v>0</v>
          </cell>
          <cell r="J226" t="str">
            <v>Ensure a seamless transition with zero critical system downtime during the integration.</v>
          </cell>
          <cell r="L226" t="str">
            <v>ABAYOMI ONITIJU</v>
          </cell>
        </row>
        <row r="227">
          <cell r="A227">
            <v>14</v>
          </cell>
          <cell r="B227" t="str">
            <v>PAT00008</v>
          </cell>
          <cell r="C227" t="str">
            <v>OLUWATONI OLURANTIMI</v>
          </cell>
          <cell r="D227" t="str">
            <v>IT Support Specialist</v>
          </cell>
          <cell r="E227" t="str">
            <v>Ensure IT systems, processes, and initiatives are structured and implemented in line with best practices</v>
          </cell>
          <cell r="F227" t="str">
            <v>Ensure IT systems, processes, and initiatives are structured and implemented in line with best practices</v>
          </cell>
          <cell r="G227">
            <v>0.15</v>
          </cell>
          <cell r="H227">
            <v>0.05</v>
          </cell>
          <cell r="I227">
            <v>2</v>
          </cell>
          <cell r="J227" t="str">
            <v>Conduct two IT audits per year to assess compliance and process efficiency.</v>
          </cell>
          <cell r="L227" t="str">
            <v>ABAYOMI ONITIJU</v>
          </cell>
        </row>
        <row r="228">
          <cell r="A228">
            <v>14</v>
          </cell>
          <cell r="B228" t="str">
            <v>PAT00008</v>
          </cell>
          <cell r="C228" t="str">
            <v>OLUWATONI OLURANTIMI</v>
          </cell>
          <cell r="D228" t="str">
            <v>IT Support Specialist</v>
          </cell>
          <cell r="F228" t="str">
            <v>Ensure IT systems, processes, and initiatives are structured and implemented in line with best practices</v>
          </cell>
          <cell r="H228">
            <v>0.05</v>
          </cell>
          <cell r="I228" t="str">
            <v>48hrs</v>
          </cell>
          <cell r="J228" t="str">
            <v>Ensure employee worktools are prepared and assigned within 48hrs</v>
          </cell>
          <cell r="L228" t="str">
            <v>ABAYOMI ONITIJU</v>
          </cell>
        </row>
        <row r="229">
          <cell r="A229">
            <v>14</v>
          </cell>
          <cell r="B229" t="str">
            <v>PAT00008</v>
          </cell>
          <cell r="C229" t="str">
            <v>OLUWATONI OLURANTIMI</v>
          </cell>
          <cell r="D229" t="str">
            <v>IT Support Specialist</v>
          </cell>
          <cell r="F229" t="str">
            <v>Ensure IT systems, processes, and initiatives are structured and implemented in line with best practices</v>
          </cell>
          <cell r="H229">
            <v>0.05</v>
          </cell>
          <cell r="I229">
            <v>0.95</v>
          </cell>
          <cell r="J229" t="str">
            <v xml:space="preserve">Implement cybersecurity trainings and achieve 95% response rate for cyber tests (i.e., phising) </v>
          </cell>
          <cell r="L229" t="str">
            <v>ABAYOMI ONITIJU</v>
          </cell>
        </row>
        <row r="230">
          <cell r="A230">
            <v>15</v>
          </cell>
          <cell r="B230" t="str">
            <v>PAT00155</v>
          </cell>
          <cell r="C230" t="str">
            <v>ABAYOMI ONITIJU</v>
          </cell>
          <cell r="D230" t="str">
            <v>Chief Information Officer</v>
          </cell>
          <cell r="E230" t="str">
            <v xml:space="preserve">Implement best in class IT tools </v>
          </cell>
          <cell r="F230" t="str">
            <v xml:space="preserve">Implement best in class IT tools </v>
          </cell>
          <cell r="G230">
            <v>0.4</v>
          </cell>
          <cell r="H230">
            <v>0.25</v>
          </cell>
          <cell r="I230" t="str">
            <v>Imp</v>
          </cell>
          <cell r="J230" t="str">
            <v>Implement ERP</v>
          </cell>
          <cell r="L230" t="str">
            <v>OLADIPO BADRU</v>
          </cell>
        </row>
        <row r="231">
          <cell r="A231">
            <v>15</v>
          </cell>
          <cell r="B231" t="str">
            <v>PAT00155</v>
          </cell>
          <cell r="C231" t="str">
            <v>ABAYOMI ONITIJU</v>
          </cell>
          <cell r="D231" t="str">
            <v>Chief Information Officer</v>
          </cell>
          <cell r="F231" t="str">
            <v xml:space="preserve">Implement best in class IT tools </v>
          </cell>
          <cell r="G231">
            <v>0.4</v>
          </cell>
          <cell r="H231">
            <v>0.15</v>
          </cell>
          <cell r="I231" t="str">
            <v>Imp</v>
          </cell>
          <cell r="J231" t="str">
            <v>Implement HR system</v>
          </cell>
          <cell r="L231" t="str">
            <v>OLADIPO BADRU</v>
          </cell>
        </row>
        <row r="232">
          <cell r="A232">
            <v>15</v>
          </cell>
          <cell r="B232" t="str">
            <v>PAT00155</v>
          </cell>
          <cell r="C232" t="str">
            <v>ABAYOMI ONITIJU</v>
          </cell>
          <cell r="D232" t="str">
            <v>Chief Information Officer</v>
          </cell>
          <cell r="E232" t="str">
            <v>Ensure provision of effective IT operation support that enables the business to achieve overall corporate objectives</v>
          </cell>
          <cell r="F232" t="str">
            <v>Ensure provision of effective IT operation support that enables the business to achieve overall corporate objectives</v>
          </cell>
          <cell r="G232">
            <v>0.15</v>
          </cell>
          <cell r="H232">
            <v>0.03</v>
          </cell>
          <cell r="I232">
            <v>0.97499999999999998</v>
          </cell>
          <cell r="J232" t="str">
            <v>Maintain 97.5% IT system uptime for critical business applications.</v>
          </cell>
          <cell r="L232" t="str">
            <v>OLADIPO BADRU</v>
          </cell>
        </row>
        <row r="233">
          <cell r="A233">
            <v>15</v>
          </cell>
          <cell r="B233" t="str">
            <v>PAT00155</v>
          </cell>
          <cell r="C233" t="str">
            <v>ABAYOMI ONITIJU</v>
          </cell>
          <cell r="D233" t="str">
            <v>Chief Information Officer</v>
          </cell>
          <cell r="F233" t="str">
            <v>Ensure provision of effective IT operation support that enables the business to achieve overall corporate objectives</v>
          </cell>
          <cell r="H233">
            <v>0.03</v>
          </cell>
          <cell r="I233" t="str">
            <v>&lt;30%</v>
          </cell>
          <cell r="J233" t="str">
            <v>Reduce IT support ticket resolution time by 30% through improved processes and automation.</v>
          </cell>
          <cell r="L233" t="str">
            <v>OLADIPO BADRU</v>
          </cell>
        </row>
        <row r="234">
          <cell r="A234">
            <v>15</v>
          </cell>
          <cell r="B234" t="str">
            <v>PAT00155</v>
          </cell>
          <cell r="C234" t="str">
            <v>ABAYOMI ONITIJU</v>
          </cell>
          <cell r="D234" t="str">
            <v>Chief Information Officer</v>
          </cell>
          <cell r="F234" t="str">
            <v>Ensure provision of effective IT operation support that enables the business to achieve overall corporate objectives</v>
          </cell>
          <cell r="H234">
            <v>0.03</v>
          </cell>
          <cell r="I234">
            <v>0.5</v>
          </cell>
          <cell r="J234" t="str">
            <v>Implement a self-service IT helpdesk to resolve at least 50% of IT requests without manual intervention.</v>
          </cell>
          <cell r="L234" t="str">
            <v>OLADIPO BADRU</v>
          </cell>
        </row>
        <row r="235">
          <cell r="A235">
            <v>15</v>
          </cell>
          <cell r="B235" t="str">
            <v>PAT00155</v>
          </cell>
          <cell r="C235" t="str">
            <v>ABAYOMI ONITIJU</v>
          </cell>
          <cell r="D235" t="str">
            <v>Chief Information Officer</v>
          </cell>
          <cell r="F235" t="str">
            <v>Ensure provision of effective IT operation support that enables the business to achieve overall corporate objectives</v>
          </cell>
          <cell r="H235">
            <v>0.03</v>
          </cell>
          <cell r="I235">
            <v>0.9</v>
          </cell>
          <cell r="J235" t="str">
            <v>Ensure 90% of IT projects are delivered on time and within budget, following best practice frameworks.</v>
          </cell>
          <cell r="L235" t="str">
            <v>OLADIPO BADRU</v>
          </cell>
        </row>
        <row r="236">
          <cell r="A236">
            <v>15</v>
          </cell>
          <cell r="B236" t="str">
            <v>PAT00155</v>
          </cell>
          <cell r="C236" t="str">
            <v>ABAYOMI ONITIJU</v>
          </cell>
          <cell r="D236" t="str">
            <v>Chief Information Officer</v>
          </cell>
          <cell r="F236" t="str">
            <v>Ensure provision of effective IT operation support that enables the business to achieve overall corporate objectives</v>
          </cell>
          <cell r="G236">
            <v>0.15</v>
          </cell>
          <cell r="H236">
            <v>0.03</v>
          </cell>
          <cell r="I236" t="str">
            <v>&gt;85%</v>
          </cell>
          <cell r="J236" t="str">
            <v>Achieve 85%+ employee satisfaction on IT support services in the bi-annual employee satisfaction survey.</v>
          </cell>
          <cell r="L236" t="str">
            <v>OLADIPO BADRU</v>
          </cell>
        </row>
        <row r="237">
          <cell r="A237">
            <v>15</v>
          </cell>
          <cell r="B237" t="str">
            <v>PAT00155</v>
          </cell>
          <cell r="C237" t="str">
            <v>ABAYOMI ONITIJU</v>
          </cell>
          <cell r="D237" t="str">
            <v>Chief Information Officer</v>
          </cell>
          <cell r="E237" t="str">
            <v>Ensure PAT processes are automated</v>
          </cell>
          <cell r="F237" t="str">
            <v>Ensure PAT processes are automated</v>
          </cell>
          <cell r="G237">
            <v>0.15</v>
          </cell>
          <cell r="H237">
            <v>0.02</v>
          </cell>
          <cell r="I237" t="str">
            <v>Imp</v>
          </cell>
          <cell r="J237" t="str">
            <v>Implement an integrated workflow system to track and manage automated processes.</v>
          </cell>
          <cell r="L237" t="str">
            <v>OLADIPO BADRU</v>
          </cell>
        </row>
        <row r="238">
          <cell r="A238">
            <v>15</v>
          </cell>
          <cell r="B238" t="str">
            <v>PAT00155</v>
          </cell>
          <cell r="C238" t="str">
            <v>ABAYOMI ONITIJU</v>
          </cell>
          <cell r="D238" t="str">
            <v>Chief Information Officer</v>
          </cell>
          <cell r="F238" t="str">
            <v>Ensure PAT processes are automated</v>
          </cell>
          <cell r="H238">
            <v>0.05</v>
          </cell>
          <cell r="I238">
            <v>5</v>
          </cell>
          <cell r="J238" t="str">
            <v xml:space="preserve">Identify and automate at least 5 key manual processes across HR, Finance, and Operations saving X hours </v>
          </cell>
          <cell r="L238" t="str">
            <v>OLADIPO BADRU</v>
          </cell>
        </row>
        <row r="239">
          <cell r="A239">
            <v>15</v>
          </cell>
          <cell r="B239" t="str">
            <v>PAT00155</v>
          </cell>
          <cell r="C239" t="str">
            <v>ABAYOMI ONITIJU</v>
          </cell>
          <cell r="D239" t="str">
            <v>Chief Information Officer</v>
          </cell>
          <cell r="F239" t="str">
            <v>Ensure PAT processes are automated</v>
          </cell>
          <cell r="H239">
            <v>0.05</v>
          </cell>
          <cell r="I239">
            <v>0.4</v>
          </cell>
          <cell r="J239" t="str">
            <v>Reduce process turnaround time by 40% through automation.</v>
          </cell>
          <cell r="L239" t="str">
            <v>OLADIPO BADRU</v>
          </cell>
        </row>
        <row r="240">
          <cell r="A240">
            <v>15</v>
          </cell>
          <cell r="B240" t="str">
            <v>PAT00155</v>
          </cell>
          <cell r="C240" t="str">
            <v>ABAYOMI ONITIJU</v>
          </cell>
          <cell r="D240" t="str">
            <v>Chief Information Officer</v>
          </cell>
          <cell r="F240" t="str">
            <v>Ensure PAT processes are automated</v>
          </cell>
          <cell r="H240">
            <v>0.02</v>
          </cell>
          <cell r="I240">
            <v>1</v>
          </cell>
          <cell r="J240" t="str">
            <v>Train 100% of relevant employees on new automated tools and workflows.</v>
          </cell>
          <cell r="L240" t="str">
            <v>OLADIPO BADRU</v>
          </cell>
        </row>
        <row r="241">
          <cell r="A241">
            <v>15</v>
          </cell>
          <cell r="B241" t="str">
            <v>PAT00155</v>
          </cell>
          <cell r="C241" t="str">
            <v>ABAYOMI ONITIJU</v>
          </cell>
          <cell r="D241" t="str">
            <v>Chief Information Officer</v>
          </cell>
          <cell r="F241" t="str">
            <v>Ensure PAT processes are automated</v>
          </cell>
          <cell r="G241">
            <v>0.15</v>
          </cell>
          <cell r="H241">
            <v>0.01</v>
          </cell>
          <cell r="I241">
            <v>1</v>
          </cell>
          <cell r="J241" t="str">
            <v xml:space="preserve">Identify and start piloting 1 AI use cases </v>
          </cell>
          <cell r="L241" t="str">
            <v>OLADIPO BADRU</v>
          </cell>
        </row>
        <row r="242">
          <cell r="A242">
            <v>15</v>
          </cell>
          <cell r="B242" t="str">
            <v>PAT00155</v>
          </cell>
          <cell r="C242" t="str">
            <v>ABAYOMI ONITIJU</v>
          </cell>
          <cell r="D242" t="str">
            <v>Chief Information Officer</v>
          </cell>
          <cell r="E242" t="str">
            <v>Ensure smooth integration of PAT and ENL teams</v>
          </cell>
          <cell r="F242" t="str">
            <v>Ensure smooth integration of PAT and ENL teams</v>
          </cell>
          <cell r="G242">
            <v>0.1</v>
          </cell>
          <cell r="H242">
            <v>0.02</v>
          </cell>
          <cell r="I242">
            <v>1</v>
          </cell>
          <cell r="J242" t="str">
            <v>Standardize IT policies and systems across both organizations, achieving 100% alignment.</v>
          </cell>
          <cell r="L242" t="str">
            <v>OLADIPO BADRU</v>
          </cell>
        </row>
        <row r="243">
          <cell r="A243">
            <v>15</v>
          </cell>
          <cell r="B243" t="str">
            <v>PAT00155</v>
          </cell>
          <cell r="C243" t="str">
            <v>ABAYOMI ONITIJU</v>
          </cell>
          <cell r="D243" t="str">
            <v>Chief Information Officer</v>
          </cell>
          <cell r="F243" t="str">
            <v>Ensure smooth integration of PAT and ENL teams</v>
          </cell>
          <cell r="H243">
            <v>0.02</v>
          </cell>
          <cell r="I243" t="str">
            <v>Imp</v>
          </cell>
          <cell r="J243" t="str">
            <v>Implement a unified IT infrastructure for PAT and ENL within 6 months.</v>
          </cell>
          <cell r="L243" t="str">
            <v>OLADIPO BADRU</v>
          </cell>
        </row>
        <row r="244">
          <cell r="A244">
            <v>15</v>
          </cell>
          <cell r="B244" t="str">
            <v>PAT00155</v>
          </cell>
          <cell r="C244" t="str">
            <v>ABAYOMI ONITIJU</v>
          </cell>
          <cell r="D244" t="str">
            <v>Chief Information Officer</v>
          </cell>
          <cell r="F244" t="str">
            <v>Ensure smooth integration of PAT and ENL teams</v>
          </cell>
          <cell r="H244">
            <v>0.04</v>
          </cell>
          <cell r="I244">
            <v>3</v>
          </cell>
          <cell r="J244" t="str">
            <v>Conduct at least 3 joint IT training and onboarding sessions for ENL employees.</v>
          </cell>
          <cell r="L244" t="str">
            <v>OLADIPO BADRU</v>
          </cell>
        </row>
        <row r="245">
          <cell r="A245">
            <v>15</v>
          </cell>
          <cell r="B245" t="str">
            <v>PAT00155</v>
          </cell>
          <cell r="C245" t="str">
            <v>ABAYOMI ONITIJU</v>
          </cell>
          <cell r="D245" t="str">
            <v>Chief Information Officer</v>
          </cell>
          <cell r="F245" t="str">
            <v>Ensure smooth integration of PAT and ENL teams</v>
          </cell>
          <cell r="G245">
            <v>0.1</v>
          </cell>
          <cell r="H245">
            <v>0.02</v>
          </cell>
          <cell r="I245">
            <v>0</v>
          </cell>
          <cell r="J245" t="str">
            <v>Ensure a seamless transition with zero critical system downtime during the integration.</v>
          </cell>
          <cell r="L245" t="str">
            <v>OLADIPO BADRU</v>
          </cell>
        </row>
        <row r="246">
          <cell r="A246">
            <v>15</v>
          </cell>
          <cell r="B246" t="str">
            <v>PAT00155</v>
          </cell>
          <cell r="C246" t="str">
            <v>ABAYOMI ONITIJU</v>
          </cell>
          <cell r="D246" t="str">
            <v>Chief Information Officer</v>
          </cell>
          <cell r="E246" t="str">
            <v>Enhance IT Team Performance, Career Growth, and Retention</v>
          </cell>
          <cell r="F246" t="str">
            <v>Enhance IT Team Performance, Career Growth, and Retention</v>
          </cell>
          <cell r="G246">
            <v>0.05</v>
          </cell>
          <cell r="H246">
            <v>0.03</v>
          </cell>
          <cell r="I246" t="str">
            <v>Ens</v>
          </cell>
          <cell r="J246" t="str">
            <v>Ensure all IT staff have OKRs set and aligned with business goals by the end of April 2025.</v>
          </cell>
          <cell r="L246" t="str">
            <v>OLADIPO BADRU</v>
          </cell>
        </row>
        <row r="247">
          <cell r="A247">
            <v>15</v>
          </cell>
          <cell r="B247" t="str">
            <v>PAT00155</v>
          </cell>
          <cell r="C247" t="str">
            <v>ABAYOMI ONITIJU</v>
          </cell>
          <cell r="D247" t="str">
            <v>Chief Information Officer</v>
          </cell>
          <cell r="F247" t="str">
            <v>Enhance IT Team Performance, Career Growth, and Retention</v>
          </cell>
          <cell r="G247">
            <v>0.05</v>
          </cell>
          <cell r="H247">
            <v>0.01</v>
          </cell>
          <cell r="I247">
            <v>1</v>
          </cell>
          <cell r="J247" t="str">
            <v>Collaborate with HR to define a clear career roadmap for all  IT positions and ensure 100% adoption within the team by Q3 2025.</v>
          </cell>
          <cell r="L247" t="str">
            <v>OLADIPO BADRU</v>
          </cell>
        </row>
        <row r="248">
          <cell r="A248">
            <v>15</v>
          </cell>
          <cell r="B248" t="str">
            <v>PAT00155</v>
          </cell>
          <cell r="C248" t="str">
            <v>ABAYOMI ONITIJU</v>
          </cell>
          <cell r="D248" t="str">
            <v>Chief Information Officer</v>
          </cell>
          <cell r="F248" t="str">
            <v>Enhance IT Team Performance, Career Growth, and Retention</v>
          </cell>
          <cell r="G248">
            <v>0.05</v>
          </cell>
          <cell r="H248">
            <v>0.01</v>
          </cell>
          <cell r="I248">
            <v>0.05</v>
          </cell>
          <cell r="J248" t="str">
            <v>Implement strategies to retain top IT talent, ensuring attrition of senior personnel does not exceed 5%.</v>
          </cell>
          <cell r="L248" t="str">
            <v>OLADIPO BADRU</v>
          </cell>
        </row>
        <row r="249">
          <cell r="A249">
            <v>15</v>
          </cell>
          <cell r="B249" t="str">
            <v>PAT00155</v>
          </cell>
          <cell r="C249" t="str">
            <v>ABAYOMI ONITIJU</v>
          </cell>
          <cell r="D249" t="str">
            <v>Chief Information Officer</v>
          </cell>
          <cell r="E249" t="str">
            <v>Ensure IT systems, processes, and initiatives are structured and implemented in line with best practices</v>
          </cell>
          <cell r="F249" t="str">
            <v>Ensure IT systems, processes, and initiatives are structured and implemented in line with best practices</v>
          </cell>
          <cell r="G249">
            <v>0.15</v>
          </cell>
          <cell r="H249">
            <v>0.05</v>
          </cell>
          <cell r="I249">
            <v>3</v>
          </cell>
          <cell r="J249" t="str">
            <v>Implement and document at least 3 new IT governance policies aligned with best practices.</v>
          </cell>
          <cell r="L249" t="str">
            <v>OLADIPO BADRU</v>
          </cell>
        </row>
        <row r="250">
          <cell r="A250">
            <v>15</v>
          </cell>
          <cell r="B250" t="str">
            <v>PAT00155</v>
          </cell>
          <cell r="C250" t="str">
            <v>ABAYOMI ONITIJU</v>
          </cell>
          <cell r="D250" t="str">
            <v>Chief Information Officer</v>
          </cell>
          <cell r="F250" t="str">
            <v>Ensure IT systems, processes, and initiatives are structured and implemented in line with best practices</v>
          </cell>
          <cell r="H250">
            <v>0.02</v>
          </cell>
          <cell r="I250">
            <v>2</v>
          </cell>
          <cell r="J250" t="str">
            <v>Conduct two IT audits per year to assess compliance and process efficiency.</v>
          </cell>
          <cell r="L250" t="str">
            <v>OLADIPO BADRU</v>
          </cell>
        </row>
        <row r="251">
          <cell r="A251">
            <v>15</v>
          </cell>
          <cell r="B251" t="str">
            <v>PAT00155</v>
          </cell>
          <cell r="C251" t="str">
            <v>ABAYOMI ONITIJU</v>
          </cell>
          <cell r="D251" t="str">
            <v>Chief Information Officer</v>
          </cell>
          <cell r="F251" t="str">
            <v>Ensure IT systems, processes, and initiatives are structured and implemented in line with best practices</v>
          </cell>
          <cell r="H251">
            <v>0.05</v>
          </cell>
          <cell r="I251">
            <v>0.95</v>
          </cell>
          <cell r="J251" t="str">
            <v xml:space="preserve">Implement cybersecurity trainings and achieve 95% response rate for cyber tests (i.e., phising) </v>
          </cell>
          <cell r="L251" t="str">
            <v>OLADIPO BADRU</v>
          </cell>
        </row>
        <row r="252">
          <cell r="A252">
            <v>15</v>
          </cell>
          <cell r="B252" t="str">
            <v>PAT00155</v>
          </cell>
          <cell r="C252" t="str">
            <v>ABAYOMI ONITIJU</v>
          </cell>
          <cell r="D252" t="str">
            <v>Chief Information Officer</v>
          </cell>
          <cell r="F252" t="str">
            <v>Ensure IT systems, processes, and initiatives are structured and implemented in line with best practices</v>
          </cell>
          <cell r="H252">
            <v>0.03</v>
          </cell>
          <cell r="I252">
            <v>1</v>
          </cell>
          <cell r="J252" t="str">
            <v>Achieve 100% compliance with industry security and data protection standards (e.g., ISO 27001, GDPR).</v>
          </cell>
          <cell r="L252" t="str">
            <v>OLADIPO BADRU</v>
          </cell>
        </row>
        <row r="253">
          <cell r="A253">
            <v>16</v>
          </cell>
          <cell r="B253" t="str">
            <v>PAT00049</v>
          </cell>
          <cell r="C253" t="str">
            <v>ADEKUNLE AKINLALU</v>
          </cell>
          <cell r="D253" t="str">
            <v>Site Acquisition Coordinator</v>
          </cell>
          <cell r="E253" t="str">
            <v>Ensure site lock-outs/downtime arising from litigation, SAQ disputes, and regulatory issues are resolved within set timelines</v>
          </cell>
          <cell r="F253" t="str">
            <v>Ensure site lock-outs/downtime arising from litigation, SAQ disputes, and regulatory issues are resolved within set timelines</v>
          </cell>
          <cell r="G253">
            <v>0.4</v>
          </cell>
          <cell r="H253">
            <v>0.2</v>
          </cell>
          <cell r="I253">
            <v>1</v>
          </cell>
          <cell r="J253" t="str">
            <v>100% resolution of site lock-outs within the agreed SLA period.</v>
          </cell>
          <cell r="L253" t="str">
            <v>BABATUNDE OLANIYAN</v>
          </cell>
        </row>
        <row r="254">
          <cell r="A254">
            <v>16</v>
          </cell>
          <cell r="B254" t="str">
            <v>PAT00049</v>
          </cell>
          <cell r="C254" t="str">
            <v>ADEKUNLE AKINLALU</v>
          </cell>
          <cell r="D254" t="str">
            <v>Site Acquisition Coordinator</v>
          </cell>
          <cell r="F254" t="str">
            <v>Ensure site lock-outs/downtime arising from litigation, SAQ disputes, and regulatory issues are resolved within set timelines</v>
          </cell>
          <cell r="H254">
            <v>0.2</v>
          </cell>
          <cell r="I254">
            <v>1</v>
          </cell>
          <cell r="J254" t="str">
            <v>Ensure site leases and renewals maintain a maximum average of N950,000 per annum per site</v>
          </cell>
          <cell r="L254" t="str">
            <v>BABATUNDE OLANIYAN</v>
          </cell>
        </row>
        <row r="255">
          <cell r="A255">
            <v>16</v>
          </cell>
          <cell r="B255" t="str">
            <v>PAT00049</v>
          </cell>
          <cell r="C255" t="str">
            <v>ADEKUNLE AKINLALU</v>
          </cell>
          <cell r="D255" t="str">
            <v>Site Acquisition Coordinator</v>
          </cell>
          <cell r="E255" t="str">
            <v>Ensure prompt site acquisition to aid roll-out</v>
          </cell>
          <cell r="F255" t="str">
            <v>Ensure prompt site acquisition to aid roll-out</v>
          </cell>
          <cell r="G255">
            <v>0.4</v>
          </cell>
          <cell r="H255">
            <v>0.2</v>
          </cell>
          <cell r="I255">
            <v>0.9</v>
          </cell>
          <cell r="J255" t="str">
            <v>90% of site acquisitions completed within the set project timelines (2 weeks).</v>
          </cell>
          <cell r="L255" t="str">
            <v>BABATUNDE OLANIYAN</v>
          </cell>
        </row>
        <row r="256">
          <cell r="A256">
            <v>16</v>
          </cell>
          <cell r="B256" t="str">
            <v>PAT00049</v>
          </cell>
          <cell r="C256" t="str">
            <v>ADEKUNLE AKINLALU</v>
          </cell>
          <cell r="D256" t="str">
            <v>Site Acquisition Coordinator</v>
          </cell>
          <cell r="F256" t="str">
            <v>Ensure prompt site acquisition to aid roll-out</v>
          </cell>
          <cell r="H256">
            <v>0.15</v>
          </cell>
          <cell r="I256" t="str">
            <v>&lt;20%</v>
          </cell>
          <cell r="J256" t="str">
            <v>Reduction in acquisition delays by 20% compared to the previous quarter.</v>
          </cell>
          <cell r="L256" t="str">
            <v>BABATUNDE OLANIYAN</v>
          </cell>
        </row>
        <row r="257">
          <cell r="A257">
            <v>16</v>
          </cell>
          <cell r="B257" t="str">
            <v>PAT00049</v>
          </cell>
          <cell r="C257" t="str">
            <v>ADEKUNLE AKINLALU</v>
          </cell>
          <cell r="D257" t="str">
            <v>Site Acquisition Coordinator</v>
          </cell>
          <cell r="F257" t="str">
            <v>Ensure prompt site acquisition to aid roll-out</v>
          </cell>
          <cell r="H257">
            <v>0.05</v>
          </cell>
          <cell r="I257" t="str">
            <v>imple</v>
          </cell>
          <cell r="J257" t="str">
            <v>Implement a standardized acquisition workflow to reduce bottlenecks.</v>
          </cell>
          <cell r="L257" t="str">
            <v>BABATUNDE OLANIYAN</v>
          </cell>
        </row>
        <row r="258">
          <cell r="A258">
            <v>16</v>
          </cell>
          <cell r="B258" t="str">
            <v>PAT00049</v>
          </cell>
          <cell r="C258" t="str">
            <v>ADEKUNLE AKINLALU</v>
          </cell>
          <cell r="D258" t="str">
            <v>Site Acquisition Coordinator</v>
          </cell>
          <cell r="E258" t="str">
            <v>Resolve all outstanding regulatory approvals backlog and ensure all permits are applied for at the time of new site build</v>
          </cell>
          <cell r="F258" t="str">
            <v>Resolve all outstanding regulatory approvals backlog and ensure all permits are applied for at the time of new site build</v>
          </cell>
          <cell r="G258">
            <v>0.2</v>
          </cell>
          <cell r="H258">
            <v>0.1</v>
          </cell>
          <cell r="I258">
            <v>1</v>
          </cell>
          <cell r="J258" t="str">
            <v>Ensure 100% of new site builds have all required permits before commencement.</v>
          </cell>
          <cell r="L258" t="str">
            <v>BABATUNDE OLANIYAN</v>
          </cell>
        </row>
        <row r="259">
          <cell r="A259">
            <v>16</v>
          </cell>
          <cell r="B259" t="str">
            <v>PAT00049</v>
          </cell>
          <cell r="C259" t="str">
            <v>ADEKUNLE AKINLALU</v>
          </cell>
          <cell r="D259" t="str">
            <v>Site Acquisition Coordinator</v>
          </cell>
          <cell r="F259" t="str">
            <v>Resolve all outstanding regulatory approvals backlog and ensure all permits are applied for at the time of new site build</v>
          </cell>
          <cell r="H259">
            <v>0.1</v>
          </cell>
          <cell r="I259" t="str">
            <v>&lt;20%</v>
          </cell>
          <cell r="J259" t="str">
            <v>Reduce permit application processing time by 20% through process optimization.</v>
          </cell>
          <cell r="L259" t="str">
            <v>BABATUNDE OLANIYAN</v>
          </cell>
        </row>
        <row r="260">
          <cell r="A260">
            <v>17</v>
          </cell>
          <cell r="B260" t="str">
            <v>PAT00019</v>
          </cell>
          <cell r="C260" t="str">
            <v>CHIKA KALU</v>
          </cell>
          <cell r="D260" t="str">
            <v>Site Acquisition Coordinator</v>
          </cell>
          <cell r="E260" t="str">
            <v>Ensure site lock-outs/downtime arising from litigation, SAQ disputes, and regulatory issues are resolved within set timelines</v>
          </cell>
          <cell r="F260" t="str">
            <v>Ensure site lock-outs/downtime arising from litigation, SAQ disputes, and regulatory issues are resolved within set timelines</v>
          </cell>
          <cell r="G260">
            <v>0.4</v>
          </cell>
          <cell r="H260">
            <v>0.2</v>
          </cell>
          <cell r="I260">
            <v>1</v>
          </cell>
          <cell r="J260" t="str">
            <v>100% resolution of site lock-outs within the agreed SLA period.</v>
          </cell>
          <cell r="L260" t="str">
            <v>BABATUNDE OLANIYAN</v>
          </cell>
        </row>
        <row r="261">
          <cell r="A261">
            <v>17</v>
          </cell>
          <cell r="B261" t="str">
            <v>PAT00019</v>
          </cell>
          <cell r="C261" t="str">
            <v>CHIKA KALU</v>
          </cell>
          <cell r="D261" t="str">
            <v>Site Acquisition Coordinator</v>
          </cell>
          <cell r="F261" t="str">
            <v>Ensure site lock-outs/downtime arising from litigation, SAQ disputes, and regulatory issues are resolved within set timelines</v>
          </cell>
          <cell r="H261">
            <v>0.2</v>
          </cell>
          <cell r="I261">
            <v>1</v>
          </cell>
          <cell r="J261" t="str">
            <v>Ensure site leases and renewals maintain a maximum average of N950,000 per annum per site</v>
          </cell>
          <cell r="L261" t="str">
            <v>BABATUNDE OLANIYAN</v>
          </cell>
        </row>
        <row r="262">
          <cell r="A262">
            <v>17</v>
          </cell>
          <cell r="B262" t="str">
            <v>PAT00019</v>
          </cell>
          <cell r="C262" t="str">
            <v>CHIKA KALU</v>
          </cell>
          <cell r="D262" t="str">
            <v>Site Acquisition Coordinator</v>
          </cell>
          <cell r="E262" t="str">
            <v>Ensure prompt site acquisition to aid roll-out</v>
          </cell>
          <cell r="F262" t="str">
            <v>Ensure prompt site acquisition to aid roll-out</v>
          </cell>
          <cell r="G262">
            <v>0.4</v>
          </cell>
          <cell r="H262">
            <v>0.2</v>
          </cell>
          <cell r="I262">
            <v>0.9</v>
          </cell>
          <cell r="J262" t="str">
            <v>90% of site acquisitions completed within the set project timelines (2 weeks).</v>
          </cell>
          <cell r="L262" t="str">
            <v>BABATUNDE OLANIYAN</v>
          </cell>
        </row>
        <row r="263">
          <cell r="A263">
            <v>17</v>
          </cell>
          <cell r="B263" t="str">
            <v>PAT00019</v>
          </cell>
          <cell r="C263" t="str">
            <v>CHIKA KALU</v>
          </cell>
          <cell r="D263" t="str">
            <v>Site Acquisition Coordinator</v>
          </cell>
          <cell r="F263" t="str">
            <v>Ensure prompt site acquisition to aid roll-out</v>
          </cell>
          <cell r="H263">
            <v>0.15</v>
          </cell>
          <cell r="I263" t="str">
            <v>&lt;20%</v>
          </cell>
          <cell r="J263" t="str">
            <v>Reduction in acquisition delays by 20% compared to the previous quarter.</v>
          </cell>
          <cell r="L263" t="str">
            <v>BABATUNDE OLANIYAN</v>
          </cell>
        </row>
        <row r="264">
          <cell r="A264">
            <v>17</v>
          </cell>
          <cell r="B264" t="str">
            <v>PAT00019</v>
          </cell>
          <cell r="C264" t="str">
            <v>CHIKA KALU</v>
          </cell>
          <cell r="D264" t="str">
            <v>Site Acquisition Coordinator</v>
          </cell>
          <cell r="F264" t="str">
            <v>Ensure prompt site acquisition to aid roll-out</v>
          </cell>
          <cell r="H264">
            <v>0.05</v>
          </cell>
          <cell r="I264" t="str">
            <v>imple</v>
          </cell>
          <cell r="J264" t="str">
            <v>Implement a standardized acquisition workflow to reduce bottlenecks.</v>
          </cell>
          <cell r="L264" t="str">
            <v>BABATUNDE OLANIYAN</v>
          </cell>
        </row>
        <row r="265">
          <cell r="A265">
            <v>17</v>
          </cell>
          <cell r="B265" t="str">
            <v>PAT00019</v>
          </cell>
          <cell r="C265" t="str">
            <v>CHIKA KALU</v>
          </cell>
          <cell r="D265" t="str">
            <v>Site Acquisition Coordinator</v>
          </cell>
          <cell r="E265" t="str">
            <v>Resolve all outstanding regulatory approvals backlog and ensure all permits are applied for at the time of new site build</v>
          </cell>
          <cell r="F265" t="str">
            <v>Resolve all outstanding regulatory approvals backlog and ensure all permits are applied for at the time of new site build</v>
          </cell>
          <cell r="G265">
            <v>0.2</v>
          </cell>
          <cell r="H265">
            <v>0.1</v>
          </cell>
          <cell r="I265">
            <v>1</v>
          </cell>
          <cell r="J265" t="str">
            <v>Ensure 100% of new site builds have all required permits before commencement.</v>
          </cell>
          <cell r="L265" t="str">
            <v>BABATUNDE OLANIYAN</v>
          </cell>
        </row>
        <row r="266">
          <cell r="A266">
            <v>17</v>
          </cell>
          <cell r="B266" t="str">
            <v>PAT00019</v>
          </cell>
          <cell r="C266" t="str">
            <v>CHIKA KALU</v>
          </cell>
          <cell r="D266" t="str">
            <v>Site Acquisition Coordinator</v>
          </cell>
          <cell r="F266" t="str">
            <v>Resolve all outstanding regulatory approvals backlog and ensure all permits are applied for at the time of new site build</v>
          </cell>
          <cell r="H266">
            <v>0.1</v>
          </cell>
          <cell r="I266" t="str">
            <v>&lt;20%</v>
          </cell>
          <cell r="J266" t="str">
            <v>Reduce permit application processing time by 20% through process optimization.</v>
          </cell>
          <cell r="L266" t="str">
            <v>BABATUNDE OLANIYAN</v>
          </cell>
        </row>
        <row r="267">
          <cell r="A267">
            <v>18</v>
          </cell>
          <cell r="B267" t="str">
            <v>PAT00010</v>
          </cell>
          <cell r="C267" t="str">
            <v>BABATUNDE OLANIYAN</v>
          </cell>
          <cell r="D267" t="str">
            <v>Director of  Legal</v>
          </cell>
          <cell r="E267" t="str">
            <v>Ensure site lock-outs/downtime arising from litigation, SAQ disputes, and regulatory issues are resolved within set timelines</v>
          </cell>
          <cell r="F267" t="str">
            <v>Ensure site lock-outs/downtime arising from litigation, SAQ disputes, and regulatory issues are resolved within set timelines</v>
          </cell>
          <cell r="G267">
            <v>0.2</v>
          </cell>
          <cell r="H267">
            <v>0.08</v>
          </cell>
          <cell r="I267">
            <v>1</v>
          </cell>
          <cell r="J267" t="str">
            <v>100% resolution of site lock-outs within the agreed SLA period.</v>
          </cell>
          <cell r="L267" t="str">
            <v>OLADIPO BADRU</v>
          </cell>
        </row>
        <row r="268">
          <cell r="A268">
            <v>18</v>
          </cell>
          <cell r="B268" t="str">
            <v>PAT00010</v>
          </cell>
          <cell r="C268" t="str">
            <v>BABATUNDE OLANIYAN</v>
          </cell>
          <cell r="D268" t="str">
            <v>Director of  Legal</v>
          </cell>
          <cell r="F268" t="str">
            <v>Ensure site lock-outs/downtime arising from litigation, SAQ disputes, and regulatory issues are resolved within set timelines</v>
          </cell>
          <cell r="H268">
            <v>0.08</v>
          </cell>
          <cell r="I268" t="str">
            <v>&lt;30%</v>
          </cell>
          <cell r="J268" t="str">
            <v>Reduction in downtime caused by regulatory or legal disputes by at least 30%.</v>
          </cell>
          <cell r="L268" t="str">
            <v>OLADIPO BADRU</v>
          </cell>
        </row>
        <row r="269">
          <cell r="A269">
            <v>18</v>
          </cell>
          <cell r="B269" t="str">
            <v>PAT00010</v>
          </cell>
          <cell r="C269" t="str">
            <v>BABATUNDE OLANIYAN</v>
          </cell>
          <cell r="D269" t="str">
            <v>Director of  Legal</v>
          </cell>
          <cell r="F269" t="str">
            <v>Ensure site lock-outs/downtime arising from litigation, SAQ disputes, and regulatory issues are resolved within set timelines</v>
          </cell>
          <cell r="H269">
            <v>0.04</v>
          </cell>
          <cell r="I269" t="str">
            <v>Establish</v>
          </cell>
          <cell r="J269" t="str">
            <v>Establish a legal risk monitoring system with early warning indicators.</v>
          </cell>
          <cell r="L269" t="str">
            <v>OLADIPO BADRU</v>
          </cell>
        </row>
        <row r="270">
          <cell r="A270">
            <v>18</v>
          </cell>
          <cell r="B270" t="str">
            <v>PAT00010</v>
          </cell>
          <cell r="C270" t="str">
            <v>BABATUNDE OLANIYAN</v>
          </cell>
          <cell r="D270" t="str">
            <v>Director of  Legal</v>
          </cell>
          <cell r="E270" t="str">
            <v>Negotiate legal terms and document PAT contracts in a manner that protects the interest of PAT and minimizes legal and regulatory risks</v>
          </cell>
          <cell r="F270" t="str">
            <v>Negotiate legal terms and document PAT contracts in a manner that protects the interest of PAT and minimizes legal and regulatory risks</v>
          </cell>
          <cell r="G270">
            <v>0.15</v>
          </cell>
          <cell r="H270">
            <v>0.05</v>
          </cell>
          <cell r="I270">
            <v>1</v>
          </cell>
          <cell r="J270" t="str">
            <v>100% of new contracts reviewed and approved within the designated timeline.</v>
          </cell>
          <cell r="L270" t="str">
            <v>OLADIPO BADRU</v>
          </cell>
        </row>
        <row r="271">
          <cell r="A271">
            <v>18</v>
          </cell>
          <cell r="B271" t="str">
            <v>PAT00010</v>
          </cell>
          <cell r="C271" t="str">
            <v>BABATUNDE OLANIYAN</v>
          </cell>
          <cell r="D271" t="str">
            <v>Director of  Legal</v>
          </cell>
          <cell r="F271" t="str">
            <v>Negotiate legal terms and document PAT contracts in a manner that protects the interest of PAT and minimizes legal and regulatory risks</v>
          </cell>
          <cell r="H271">
            <v>0.05</v>
          </cell>
          <cell r="I271">
            <v>0</v>
          </cell>
          <cell r="J271" t="str">
            <v>Zero high-risk clauses in newly negotiated contracts.</v>
          </cell>
          <cell r="L271" t="str">
            <v>OLADIPO BADRU</v>
          </cell>
        </row>
        <row r="272">
          <cell r="A272">
            <v>18</v>
          </cell>
          <cell r="B272" t="str">
            <v>PAT00010</v>
          </cell>
          <cell r="C272" t="str">
            <v>BABATUNDE OLANIYAN</v>
          </cell>
          <cell r="D272" t="str">
            <v>Director of  Legal</v>
          </cell>
          <cell r="F272" t="str">
            <v>Negotiate legal terms and document PAT contracts in a manner that protects the interest of PAT and minimizes legal and regulatory risks</v>
          </cell>
          <cell r="H272">
            <v>0.02</v>
          </cell>
          <cell r="I272">
            <v>0.95</v>
          </cell>
          <cell r="J272" t="str">
            <v>95% compliance with agreed contract terms by vendors/customers.</v>
          </cell>
          <cell r="L272" t="str">
            <v>OLADIPO BADRU</v>
          </cell>
        </row>
        <row r="273">
          <cell r="A273">
            <v>18</v>
          </cell>
          <cell r="B273" t="str">
            <v>PAT00010</v>
          </cell>
          <cell r="C273" t="str">
            <v>BABATUNDE OLANIYAN</v>
          </cell>
          <cell r="D273" t="str">
            <v>Director of  Legal</v>
          </cell>
          <cell r="F273" t="str">
            <v>Negotiate legal terms and document PAT contracts in a manner that protects the interest of PAT and minimizes legal and regulatory risks</v>
          </cell>
          <cell r="H273">
            <v>0.03</v>
          </cell>
          <cell r="I273" t="str">
            <v>quart</v>
          </cell>
          <cell r="J273" t="str">
            <v>Conduct quarterly contract risk assessments and mitigation reports.</v>
          </cell>
          <cell r="L273" t="str">
            <v>OLADIPO BADRU</v>
          </cell>
        </row>
        <row r="274">
          <cell r="A274">
            <v>18</v>
          </cell>
          <cell r="B274" t="str">
            <v>PAT00010</v>
          </cell>
          <cell r="C274" t="str">
            <v>BABATUNDE OLANIYAN</v>
          </cell>
          <cell r="D274" t="str">
            <v>Director of  Legal</v>
          </cell>
          <cell r="E274" t="str">
            <v>Provide contract administration support to all functions to ensure PAT extracts full benefits from contracts with vendors or customers and manage the imposition of penalties where applicable</v>
          </cell>
          <cell r="F274" t="str">
            <v>Provide contract administration support to all functions to ensure PAT extracts full benefits from contracts with vendors or customers and manage the imposition of penalties where applicable</v>
          </cell>
          <cell r="G274">
            <v>0.15</v>
          </cell>
          <cell r="H274">
            <v>0.05</v>
          </cell>
          <cell r="I274" t="str">
            <v>≤48 hours</v>
          </cell>
          <cell r="J274" t="str">
            <v>Response time to contract support requests maintained at ≤48 hours.</v>
          </cell>
          <cell r="L274" t="str">
            <v>OLADIPO BADRU</v>
          </cell>
        </row>
        <row r="275">
          <cell r="A275">
            <v>18</v>
          </cell>
          <cell r="B275" t="str">
            <v>PAT00010</v>
          </cell>
          <cell r="C275" t="str">
            <v>BABATUNDE OLANIYAN</v>
          </cell>
          <cell r="D275" t="str">
            <v>Director of  Legal</v>
          </cell>
          <cell r="F275" t="str">
            <v>Provide contract administration support to all functions to ensure PAT extracts full benefits from contracts with vendors or customers and manage the imposition of penalties where applicable</v>
          </cell>
          <cell r="H275">
            <v>0.05</v>
          </cell>
          <cell r="I275">
            <v>1</v>
          </cell>
          <cell r="J275" t="str">
            <v>100% tracking of contract deliverables to ensure compliance.</v>
          </cell>
          <cell r="L275" t="str">
            <v>OLADIPO BADRU</v>
          </cell>
        </row>
        <row r="276">
          <cell r="A276">
            <v>18</v>
          </cell>
          <cell r="B276" t="str">
            <v>PAT00010</v>
          </cell>
          <cell r="C276" t="str">
            <v>BABATUNDE OLANIYAN</v>
          </cell>
          <cell r="D276" t="str">
            <v>Director of  Legal</v>
          </cell>
          <cell r="F276" t="str">
            <v>Provide contract administration support to all functions to ensure PAT extracts full benefits from contracts with vendors or customers and manage the imposition of penalties where applicable</v>
          </cell>
          <cell r="H276">
            <v>0.02</v>
          </cell>
          <cell r="I276">
            <v>1</v>
          </cell>
          <cell r="J276" t="str">
            <v>Full enforcement of penalties on non-compliant vendors/customers.</v>
          </cell>
          <cell r="L276" t="str">
            <v>OLADIPO BADRU</v>
          </cell>
        </row>
        <row r="277">
          <cell r="A277">
            <v>18</v>
          </cell>
          <cell r="B277" t="str">
            <v>PAT00010</v>
          </cell>
          <cell r="C277" t="str">
            <v>BABATUNDE OLANIYAN</v>
          </cell>
          <cell r="D277" t="str">
            <v>Director of  Legal</v>
          </cell>
          <cell r="F277" t="str">
            <v>Provide contract administration support to all functions to ensure PAT extracts full benefits from contracts with vendors or customers and manage the imposition of penalties where applicable</v>
          </cell>
          <cell r="H277">
            <v>0.03</v>
          </cell>
          <cell r="I277" t="str">
            <v>quart</v>
          </cell>
          <cell r="J277" t="str">
            <v>Quarterly training sessions on contract administration for relevant teams.</v>
          </cell>
          <cell r="L277" t="str">
            <v>OLADIPO BADRU</v>
          </cell>
        </row>
        <row r="278">
          <cell r="A278">
            <v>18</v>
          </cell>
          <cell r="B278" t="str">
            <v>PAT00010</v>
          </cell>
          <cell r="C278" t="str">
            <v>BABATUNDE OLANIYAN</v>
          </cell>
          <cell r="D278" t="str">
            <v>Director of  Legal</v>
          </cell>
          <cell r="E278" t="str">
            <v>Ensure prompt site acquisition to aid roll-out</v>
          </cell>
          <cell r="F278" t="str">
            <v>Ensure prompt site acquisition to aid roll-out</v>
          </cell>
          <cell r="G278">
            <v>0.15</v>
          </cell>
          <cell r="H278">
            <v>0.05</v>
          </cell>
          <cell r="I278">
            <v>0.9</v>
          </cell>
          <cell r="J278" t="str">
            <v>90% of site acquisitions completed within the set project timelines (2 weeks).</v>
          </cell>
          <cell r="L278" t="str">
            <v>OLADIPO BADRU</v>
          </cell>
        </row>
        <row r="279">
          <cell r="A279">
            <v>18</v>
          </cell>
          <cell r="B279" t="str">
            <v>PAT00010</v>
          </cell>
          <cell r="C279" t="str">
            <v>BABATUNDE OLANIYAN</v>
          </cell>
          <cell r="D279" t="str">
            <v>Director of  Legal</v>
          </cell>
          <cell r="F279" t="str">
            <v>Ensure prompt site acquisition to aid roll-out</v>
          </cell>
          <cell r="H279">
            <v>0.02</v>
          </cell>
          <cell r="I279" t="str">
            <v>&lt;20%</v>
          </cell>
          <cell r="J279" t="str">
            <v>Reduction in acquisition delays by 20% compared to the previous quarter.</v>
          </cell>
          <cell r="L279" t="str">
            <v>OLADIPO BADRU</v>
          </cell>
        </row>
        <row r="280">
          <cell r="A280">
            <v>18</v>
          </cell>
          <cell r="B280" t="str">
            <v>PAT00010</v>
          </cell>
          <cell r="C280" t="str">
            <v>BABATUNDE OLANIYAN</v>
          </cell>
          <cell r="D280" t="str">
            <v>Director of  Legal</v>
          </cell>
          <cell r="F280" t="str">
            <v>Ensure prompt site acquisition to aid roll-out</v>
          </cell>
          <cell r="H280">
            <v>0.05</v>
          </cell>
          <cell r="I280">
            <v>1</v>
          </cell>
          <cell r="J280" t="str">
            <v>100% compliance with legal and regulatory requirements for acquisitions.</v>
          </cell>
          <cell r="L280" t="str">
            <v>OLADIPO BADRU</v>
          </cell>
        </row>
        <row r="281">
          <cell r="A281">
            <v>18</v>
          </cell>
          <cell r="B281" t="str">
            <v>PAT00010</v>
          </cell>
          <cell r="C281" t="str">
            <v>BABATUNDE OLANIYAN</v>
          </cell>
          <cell r="D281" t="str">
            <v>Director of  Legal</v>
          </cell>
          <cell r="F281" t="str">
            <v>Ensure prompt site acquisition to aid roll-out</v>
          </cell>
          <cell r="H281">
            <v>0.03</v>
          </cell>
          <cell r="I281" t="str">
            <v>imple</v>
          </cell>
          <cell r="J281" t="str">
            <v>Implement a standardized acquisition workflow to reduce bottlenecks.</v>
          </cell>
          <cell r="L281" t="str">
            <v>OLADIPO BADRU</v>
          </cell>
        </row>
        <row r="282">
          <cell r="A282">
            <v>18</v>
          </cell>
          <cell r="B282" t="str">
            <v>PAT00010</v>
          </cell>
          <cell r="C282" t="str">
            <v>BABATUNDE OLANIYAN</v>
          </cell>
          <cell r="D282" t="str">
            <v>Director of  Legal</v>
          </cell>
          <cell r="E282" t="str">
            <v>Ensure portfolio-level lease cost does not exceed budgeted value</v>
          </cell>
          <cell r="F282" t="str">
            <v>Ensure portfolio-level lease cost does not exceed budgeted value</v>
          </cell>
          <cell r="G282">
            <v>0.1</v>
          </cell>
          <cell r="H282">
            <v>0.02</v>
          </cell>
          <cell r="I282" t="str">
            <v>&lt;10%</v>
          </cell>
          <cell r="J282" t="str">
            <v>Renegotiate at least 10% of high-cost leases for cost reduction annually.</v>
          </cell>
          <cell r="L282" t="str">
            <v>OLADIPO BADRU</v>
          </cell>
        </row>
        <row r="283">
          <cell r="A283">
            <v>18</v>
          </cell>
          <cell r="B283" t="str">
            <v>PAT00010</v>
          </cell>
          <cell r="C283" t="str">
            <v>BABATUNDE OLANIYAN</v>
          </cell>
          <cell r="D283" t="str">
            <v>Director of  Legal</v>
          </cell>
          <cell r="F283" t="str">
            <v>Ensure portfolio-level lease cost does not exceed budgeted value</v>
          </cell>
          <cell r="H283">
            <v>0.02</v>
          </cell>
          <cell r="I283" t="str">
            <v>&lt;5%</v>
          </cell>
          <cell r="J283" t="str">
            <v>Achieve at least a 5% reduction in overall lease costs year-over-year.</v>
          </cell>
          <cell r="L283" t="str">
            <v>OLADIPO BADRU</v>
          </cell>
        </row>
        <row r="284">
          <cell r="A284">
            <v>18</v>
          </cell>
          <cell r="B284" t="str">
            <v>PAT00010</v>
          </cell>
          <cell r="C284" t="str">
            <v>BABATUNDE OLANIYAN</v>
          </cell>
          <cell r="D284" t="str">
            <v>Director of  Legal</v>
          </cell>
          <cell r="F284" t="str">
            <v>Ensure portfolio-level lease cost does not exceed budgeted value</v>
          </cell>
          <cell r="H284">
            <v>0.06</v>
          </cell>
          <cell r="I284" t="str">
            <v>imple</v>
          </cell>
          <cell r="J284" t="str">
            <v>Implement a lease cost benchmarking system to track efficiency.</v>
          </cell>
          <cell r="L284" t="str">
            <v>OLADIPO BADRU</v>
          </cell>
        </row>
        <row r="285">
          <cell r="A285">
            <v>18</v>
          </cell>
          <cell r="B285" t="str">
            <v>PAT00010</v>
          </cell>
          <cell r="C285" t="str">
            <v>BABATUNDE OLANIYAN</v>
          </cell>
          <cell r="D285" t="str">
            <v>Director of  Legal</v>
          </cell>
          <cell r="E285" t="str">
            <v>Resolve all outstanding regulatory approvals backlog and ensure all permits are applied for at the time of new site build</v>
          </cell>
          <cell r="F285" t="str">
            <v>Resolve all outstanding regulatory approvals backlog and ensure all permits are applied for at the time of new site build</v>
          </cell>
          <cell r="G285">
            <v>0.1</v>
          </cell>
          <cell r="H285">
            <v>0.03</v>
          </cell>
          <cell r="I285">
            <v>1</v>
          </cell>
          <cell r="J285" t="str">
            <v>100% clearance of outstanding regulatory approvals backlog by Q4 2025</v>
          </cell>
          <cell r="L285" t="str">
            <v>OLADIPO BADRU</v>
          </cell>
        </row>
        <row r="286">
          <cell r="A286">
            <v>18</v>
          </cell>
          <cell r="B286" t="str">
            <v>PAT00010</v>
          </cell>
          <cell r="C286" t="str">
            <v>BABATUNDE OLANIYAN</v>
          </cell>
          <cell r="D286" t="str">
            <v>Director of  Legal</v>
          </cell>
          <cell r="F286" t="str">
            <v>Resolve all outstanding regulatory approvals backlog and ensure all permits are applied for at the time of new site build</v>
          </cell>
          <cell r="H286">
            <v>0.04</v>
          </cell>
          <cell r="I286">
            <v>1</v>
          </cell>
          <cell r="J286" t="str">
            <v>Ensure 100% of new site builds have all required permits before commencement.</v>
          </cell>
          <cell r="L286" t="str">
            <v>OLADIPO BADRU</v>
          </cell>
        </row>
        <row r="287">
          <cell r="A287">
            <v>18</v>
          </cell>
          <cell r="B287" t="str">
            <v>PAT00010</v>
          </cell>
          <cell r="C287" t="str">
            <v>BABATUNDE OLANIYAN</v>
          </cell>
          <cell r="D287" t="str">
            <v>Director of  Legal</v>
          </cell>
          <cell r="F287" t="str">
            <v>Resolve all outstanding regulatory approvals backlog and ensure all permits are applied for at the time of new site build</v>
          </cell>
          <cell r="H287">
            <v>0.02</v>
          </cell>
          <cell r="I287" t="str">
            <v>&lt;20%</v>
          </cell>
          <cell r="J287" t="str">
            <v>Reduce permit application processing time by 20% through process optimization.</v>
          </cell>
          <cell r="L287" t="str">
            <v>OLADIPO BADRU</v>
          </cell>
        </row>
        <row r="288">
          <cell r="A288">
            <v>18</v>
          </cell>
          <cell r="B288" t="str">
            <v>PAT00010</v>
          </cell>
          <cell r="C288" t="str">
            <v>BABATUNDE OLANIYAN</v>
          </cell>
          <cell r="D288" t="str">
            <v>Director of  Legal</v>
          </cell>
          <cell r="F288" t="str">
            <v>Resolve all outstanding regulatory approvals backlog and ensure all permits are applied for at the time of new site build</v>
          </cell>
          <cell r="H288">
            <v>0.01</v>
          </cell>
          <cell r="I288" t="str">
            <v>estab</v>
          </cell>
          <cell r="J288" t="str">
            <v>Establish a regulatory tracking system for real-time monitoring of approvals.</v>
          </cell>
          <cell r="L288" t="str">
            <v>OLADIPO BADRU</v>
          </cell>
        </row>
        <row r="289">
          <cell r="A289">
            <v>18</v>
          </cell>
          <cell r="B289" t="str">
            <v>PAT00010</v>
          </cell>
          <cell r="C289" t="str">
            <v>BABATUNDE OLANIYAN</v>
          </cell>
          <cell r="D289" t="str">
            <v>Director of  Legal</v>
          </cell>
          <cell r="E289" t="str">
            <v>Provide legal support to Extended Networks Limited in line with DOA</v>
          </cell>
          <cell r="F289" t="str">
            <v>Provide legal support to Extended Networks Limited in line with DOA</v>
          </cell>
          <cell r="G289">
            <v>0.05</v>
          </cell>
          <cell r="H289">
            <v>0.02</v>
          </cell>
          <cell r="I289">
            <v>1</v>
          </cell>
          <cell r="J289" t="str">
            <v>100% of legal requests from Extended Networks Limited responded to within agreed SLA.</v>
          </cell>
          <cell r="L289" t="str">
            <v>OLADIPO BADRU</v>
          </cell>
        </row>
        <row r="290">
          <cell r="A290">
            <v>18</v>
          </cell>
          <cell r="B290" t="str">
            <v>PAT00010</v>
          </cell>
          <cell r="C290" t="str">
            <v>BABATUNDE OLANIYAN</v>
          </cell>
          <cell r="D290" t="str">
            <v>Director of  Legal</v>
          </cell>
          <cell r="F290" t="str">
            <v>Provide legal support to Extended Networks Limited in line with DOA</v>
          </cell>
          <cell r="H290">
            <v>0.01</v>
          </cell>
          <cell r="I290" t="str">
            <v>ensur</v>
          </cell>
          <cell r="J290" t="str">
            <v>Ensure all legal documents and agreements align with the Delegation of Authority (DOA) policy.</v>
          </cell>
          <cell r="L290" t="str">
            <v>OLADIPO BADRU</v>
          </cell>
        </row>
        <row r="291">
          <cell r="A291">
            <v>18</v>
          </cell>
          <cell r="B291" t="str">
            <v>PAT00010</v>
          </cell>
          <cell r="C291" t="str">
            <v>BABATUNDE OLANIYAN</v>
          </cell>
          <cell r="D291" t="str">
            <v>Director of  Legal</v>
          </cell>
          <cell r="F291" t="str">
            <v>Provide legal support to Extended Networks Limited in line with DOA</v>
          </cell>
          <cell r="H291">
            <v>0.01</v>
          </cell>
          <cell r="I291" t="str">
            <v>condu bi-annual</v>
          </cell>
          <cell r="J291" t="str">
            <v>Conduct at least two compliance audits per year for Extended Networks Limited.</v>
          </cell>
          <cell r="L291" t="str">
            <v>OLADIPO BADRU</v>
          </cell>
        </row>
        <row r="292">
          <cell r="A292">
            <v>18</v>
          </cell>
          <cell r="B292" t="str">
            <v>PAT00010</v>
          </cell>
          <cell r="C292" t="str">
            <v>BABATUNDE OLANIYAN</v>
          </cell>
          <cell r="D292" t="str">
            <v>Director of  Legal</v>
          </cell>
          <cell r="F292" t="str">
            <v>Provide legal support to Extended Networks Limited in line with DOA</v>
          </cell>
          <cell r="H292">
            <v>0.01</v>
          </cell>
          <cell r="I292" t="str">
            <v>quart</v>
          </cell>
          <cell r="J292" t="str">
            <v>Provide quarterly legal risk assessment reports to Extended Networks Limited leadership.</v>
          </cell>
          <cell r="L292" t="str">
            <v>OLADIPO BADRU</v>
          </cell>
        </row>
        <row r="293">
          <cell r="A293">
            <v>18</v>
          </cell>
          <cell r="B293" t="str">
            <v>PAT00010</v>
          </cell>
          <cell r="C293" t="str">
            <v>BABATUNDE OLANIYAN</v>
          </cell>
          <cell r="D293" t="str">
            <v>Director of  Legal</v>
          </cell>
          <cell r="E293" t="str">
            <v>Enhance Legal Team Performance, Career Growth, and Retention</v>
          </cell>
          <cell r="F293" t="str">
            <v>Enhance Legal Team Performance, Career Growth, and Retention</v>
          </cell>
          <cell r="G293">
            <v>0.1</v>
          </cell>
          <cell r="H293">
            <v>0.05</v>
          </cell>
          <cell r="I293" t="str">
            <v>ensur</v>
          </cell>
          <cell r="J293" t="str">
            <v>Ensure all Legal and SAQ staff have OKRs set and aligned with business goals by the end of April 2025.</v>
          </cell>
          <cell r="L293" t="str">
            <v>OLADIPO BADRU</v>
          </cell>
        </row>
        <row r="294">
          <cell r="A294">
            <v>18</v>
          </cell>
          <cell r="B294" t="str">
            <v>PAT00010</v>
          </cell>
          <cell r="C294" t="str">
            <v>BABATUNDE OLANIYAN</v>
          </cell>
          <cell r="D294" t="str">
            <v>Director of  Legal</v>
          </cell>
          <cell r="F294" t="str">
            <v>Enhance Legal Team Performance, Career Growth, and Retention</v>
          </cell>
          <cell r="H294">
            <v>0.03</v>
          </cell>
          <cell r="I294">
            <v>1</v>
          </cell>
          <cell r="J294" t="str">
            <v>Collaborate with HR to define a clear career roadmap for all  Legal and SAQ positions and ensure 100% adoption within the team by Q3 2025.</v>
          </cell>
          <cell r="L294" t="str">
            <v>OLADIPO BADRU</v>
          </cell>
        </row>
        <row r="295">
          <cell r="A295">
            <v>18</v>
          </cell>
          <cell r="B295" t="str">
            <v>PAT00010</v>
          </cell>
          <cell r="C295" t="str">
            <v>BABATUNDE OLANIYAN</v>
          </cell>
          <cell r="D295" t="str">
            <v>Director of  Legal</v>
          </cell>
          <cell r="F295" t="str">
            <v>Enhance Legal Team Performance, Career Growth, and Retention</v>
          </cell>
          <cell r="H295">
            <v>0.02</v>
          </cell>
          <cell r="I295" t="str">
            <v>&lt;5%</v>
          </cell>
          <cell r="J295" t="str">
            <v>Implement strategies to retain top Legal/SAQ talent, ensuring attrition of senior personnel does not exceed 5%.</v>
          </cell>
          <cell r="L295" t="str">
            <v>OLADIPO BADRU</v>
          </cell>
        </row>
        <row r="296">
          <cell r="A296">
            <v>19</v>
          </cell>
          <cell r="B296" t="str">
            <v>PAT00157</v>
          </cell>
          <cell r="C296" t="str">
            <v>OLOLADE FAFOWORA</v>
          </cell>
          <cell r="D296" t="str">
            <v>Legal Services Manager</v>
          </cell>
          <cell r="E296" t="str">
            <v>Ensure site lock-outs/downtime arising from litigation, SAQ disputes, and regulatory issues are resolved within set timelines</v>
          </cell>
          <cell r="F296" t="str">
            <v>Ensure site lock-outs/downtime arising from litigation, SAQ disputes, and regulatory issues are resolved within set timelines</v>
          </cell>
          <cell r="G296">
            <v>0.2</v>
          </cell>
          <cell r="H296">
            <v>0.15</v>
          </cell>
          <cell r="I296" t="str">
            <v>&lt;30%</v>
          </cell>
          <cell r="J296" t="str">
            <v>Reduction in downtime caused by regulatory or legal disputes by at least 30%.</v>
          </cell>
          <cell r="L296" t="str">
            <v>BABATUNDE OLANIYAN</v>
          </cell>
        </row>
        <row r="297">
          <cell r="A297">
            <v>19</v>
          </cell>
          <cell r="B297" t="str">
            <v>PAT00157</v>
          </cell>
          <cell r="C297" t="str">
            <v>OLOLADE FAFOWORA</v>
          </cell>
          <cell r="D297" t="str">
            <v>Legal Services Manager</v>
          </cell>
          <cell r="F297" t="str">
            <v>Ensure site lock-outs/downtime arising from litigation, SAQ disputes, and regulatory issues are resolved within set timelines</v>
          </cell>
          <cell r="H297">
            <v>0.05</v>
          </cell>
          <cell r="I297" t="str">
            <v>Establish</v>
          </cell>
          <cell r="J297" t="str">
            <v>Establish a legal risk monitoring system with early warning indicators.</v>
          </cell>
          <cell r="L297" t="str">
            <v>BABATUNDE OLANIYAN</v>
          </cell>
        </row>
        <row r="298">
          <cell r="A298">
            <v>19</v>
          </cell>
          <cell r="B298" t="str">
            <v>PAT00157</v>
          </cell>
          <cell r="C298" t="str">
            <v>OLOLADE FAFOWORA</v>
          </cell>
          <cell r="D298" t="str">
            <v>Legal Services Manager</v>
          </cell>
          <cell r="E298" t="str">
            <v>Negotiate legal terms and document PAT contracts in a manner that protects the interest of PAT and minimizes legal and regulatory risks</v>
          </cell>
          <cell r="F298" t="str">
            <v>Negotiate legal terms and document PAT contracts in a manner that protects the interest of PAT and minimizes legal and regulatory risks</v>
          </cell>
          <cell r="G298">
            <v>0.3</v>
          </cell>
          <cell r="H298">
            <v>0.1</v>
          </cell>
          <cell r="I298">
            <v>1</v>
          </cell>
          <cell r="J298" t="str">
            <v>100% of new contracts reviewed and approved within the designated timeline.</v>
          </cell>
          <cell r="L298" t="str">
            <v>BABATUNDE OLANIYAN</v>
          </cell>
        </row>
        <row r="299">
          <cell r="A299">
            <v>19</v>
          </cell>
          <cell r="B299" t="str">
            <v>PAT00157</v>
          </cell>
          <cell r="C299" t="str">
            <v>OLOLADE FAFOWORA</v>
          </cell>
          <cell r="D299" t="str">
            <v>Legal Services Manager</v>
          </cell>
          <cell r="F299" t="str">
            <v>Negotiate legal terms and document PAT contracts in a manner that protects the interest of PAT and minimizes legal and regulatory risks</v>
          </cell>
          <cell r="H299">
            <v>0.05</v>
          </cell>
          <cell r="I299">
            <v>0</v>
          </cell>
          <cell r="J299" t="str">
            <v>Zero high-risk clauses in newly negotiated contracts.</v>
          </cell>
          <cell r="L299" t="str">
            <v>BABATUNDE OLANIYAN</v>
          </cell>
        </row>
        <row r="300">
          <cell r="A300">
            <v>19</v>
          </cell>
          <cell r="B300" t="str">
            <v>PAT00157</v>
          </cell>
          <cell r="C300" t="str">
            <v>OLOLADE FAFOWORA</v>
          </cell>
          <cell r="D300" t="str">
            <v>Legal Services Manager</v>
          </cell>
          <cell r="F300" t="str">
            <v>Negotiate legal terms and document PAT contracts in a manner that protects the interest of PAT and minimizes legal and regulatory risks</v>
          </cell>
          <cell r="H300">
            <v>0.1</v>
          </cell>
          <cell r="I300">
            <v>0.95</v>
          </cell>
          <cell r="J300" t="str">
            <v>95% compliance with agreed contract terms by vendors/customers.</v>
          </cell>
          <cell r="L300" t="str">
            <v>BABATUNDE OLANIYAN</v>
          </cell>
        </row>
        <row r="301">
          <cell r="A301">
            <v>19</v>
          </cell>
          <cell r="B301" t="str">
            <v>PAT00157</v>
          </cell>
          <cell r="C301" t="str">
            <v>OLOLADE FAFOWORA</v>
          </cell>
          <cell r="D301" t="str">
            <v>Legal Services Manager</v>
          </cell>
          <cell r="F301" t="str">
            <v>Negotiate legal terms and document PAT contracts in a manner that protects the interest of PAT and minimizes legal and regulatory risks</v>
          </cell>
          <cell r="H301">
            <v>0.05</v>
          </cell>
          <cell r="I301" t="str">
            <v>quart</v>
          </cell>
          <cell r="J301" t="str">
            <v>Conduct quarterly contract risk assessments and mitigation reports.</v>
          </cell>
          <cell r="L301" t="str">
            <v>BABATUNDE OLANIYAN</v>
          </cell>
        </row>
        <row r="302">
          <cell r="A302">
            <v>19</v>
          </cell>
          <cell r="B302" t="str">
            <v>PAT00157</v>
          </cell>
          <cell r="C302" t="str">
            <v>OLOLADE FAFOWORA</v>
          </cell>
          <cell r="D302" t="str">
            <v>Legal Services Manager</v>
          </cell>
          <cell r="E302" t="str">
            <v>Provide contract administration support to all functions to ensure PAT extracts full benefits from contracts with vendors or customers and manage the imposition of penalties where applicable</v>
          </cell>
          <cell r="F302" t="str">
            <v>Provide contract administration support to all functions to ensure PAT extracts full benefits from contracts with vendors or customers and manage the imposition of penalties where applicable</v>
          </cell>
          <cell r="G302">
            <v>0.1</v>
          </cell>
          <cell r="H302">
            <v>0.02</v>
          </cell>
          <cell r="I302" t="str">
            <v>≤48 hours</v>
          </cell>
          <cell r="J302" t="str">
            <v>Response time to contract support requests maintained at ≤48 hours.</v>
          </cell>
          <cell r="L302" t="str">
            <v>BABATUNDE OLANIYAN</v>
          </cell>
        </row>
        <row r="303">
          <cell r="A303">
            <v>19</v>
          </cell>
          <cell r="B303" t="str">
            <v>PAT00157</v>
          </cell>
          <cell r="C303" t="str">
            <v>OLOLADE FAFOWORA</v>
          </cell>
          <cell r="D303" t="str">
            <v>Legal Services Manager</v>
          </cell>
          <cell r="F303" t="str">
            <v>Provide contract administration support to all functions to ensure PAT extracts full benefits from contracts with vendors or customers and manage the imposition of penalties where applicable</v>
          </cell>
          <cell r="H303">
            <v>0.02</v>
          </cell>
          <cell r="I303">
            <v>1</v>
          </cell>
          <cell r="J303" t="str">
            <v>100% tracking of contract deliverables to ensure compliance.</v>
          </cell>
          <cell r="L303" t="str">
            <v>BABATUNDE OLANIYAN</v>
          </cell>
        </row>
        <row r="304">
          <cell r="A304">
            <v>19</v>
          </cell>
          <cell r="B304" t="str">
            <v>PAT00157</v>
          </cell>
          <cell r="C304" t="str">
            <v>OLOLADE FAFOWORA</v>
          </cell>
          <cell r="D304" t="str">
            <v>Legal Services Manager</v>
          </cell>
          <cell r="F304" t="str">
            <v>Provide contract administration support to all functions to ensure PAT extracts full benefits from contracts with vendors or customers and manage the imposition of penalties where applicable</v>
          </cell>
          <cell r="H304">
            <v>0.05</v>
          </cell>
          <cell r="I304">
            <v>1</v>
          </cell>
          <cell r="J304" t="str">
            <v>Full enforcement of penalties on non-compliant vendors/customers.</v>
          </cell>
          <cell r="L304" t="str">
            <v>BABATUNDE OLANIYAN</v>
          </cell>
        </row>
        <row r="305">
          <cell r="A305">
            <v>19</v>
          </cell>
          <cell r="B305" t="str">
            <v>PAT00157</v>
          </cell>
          <cell r="C305" t="str">
            <v>OLOLADE FAFOWORA</v>
          </cell>
          <cell r="D305" t="str">
            <v>Legal Services Manager</v>
          </cell>
          <cell r="F305" t="str">
            <v>Provide contract administration support to all functions to ensure PAT extracts full benefits from contracts with vendors or customers and manage the imposition of penalties where applicable</v>
          </cell>
          <cell r="H305">
            <v>0.01</v>
          </cell>
          <cell r="I305" t="str">
            <v>quart</v>
          </cell>
          <cell r="J305" t="str">
            <v>Quarterly training sessions on contract administration for relevant teams.</v>
          </cell>
          <cell r="L305" t="str">
            <v>BABATUNDE OLANIYAN</v>
          </cell>
        </row>
        <row r="306">
          <cell r="A306">
            <v>19</v>
          </cell>
          <cell r="B306" t="str">
            <v>PAT00157</v>
          </cell>
          <cell r="C306" t="str">
            <v>OLOLADE FAFOWORA</v>
          </cell>
          <cell r="D306" t="str">
            <v>Legal Services Manager</v>
          </cell>
          <cell r="E306" t="str">
            <v>Ensure prompt site acquisition to aid roll-out</v>
          </cell>
          <cell r="F306" t="str">
            <v>Ensure prompt site acquisition to aid roll-out</v>
          </cell>
          <cell r="G306">
            <v>0.1</v>
          </cell>
          <cell r="H306">
            <v>0.1</v>
          </cell>
          <cell r="I306" t="str">
            <v>imple</v>
          </cell>
          <cell r="J306" t="str">
            <v>Implement a standardized acquisition workflow to reduce bottlenecks.</v>
          </cell>
          <cell r="L306" t="str">
            <v>BABATUNDE OLANIYAN</v>
          </cell>
        </row>
        <row r="307">
          <cell r="A307">
            <v>19</v>
          </cell>
          <cell r="B307" t="str">
            <v>PAT00157</v>
          </cell>
          <cell r="C307" t="str">
            <v>OLOLADE FAFOWORA</v>
          </cell>
          <cell r="D307" t="str">
            <v>Legal Services Manager</v>
          </cell>
          <cell r="E307" t="str">
            <v>Resolve all outstanding regulatory approvals backlog and ensure all permits are applied for at the time of new site build</v>
          </cell>
          <cell r="F307" t="str">
            <v>Resolve all outstanding regulatory approvals backlog and ensure all permits are applied for at the time of new site build</v>
          </cell>
          <cell r="G307">
            <v>0.2</v>
          </cell>
          <cell r="H307">
            <v>0.05</v>
          </cell>
          <cell r="I307">
            <v>1</v>
          </cell>
          <cell r="J307" t="str">
            <v>100% clearance of outstanding regulatory approvals backlog by Q4 2025</v>
          </cell>
          <cell r="L307" t="str">
            <v>BABATUNDE OLANIYAN</v>
          </cell>
        </row>
        <row r="308">
          <cell r="A308">
            <v>19</v>
          </cell>
          <cell r="B308" t="str">
            <v>PAT00157</v>
          </cell>
          <cell r="C308" t="str">
            <v>OLOLADE FAFOWORA</v>
          </cell>
          <cell r="D308" t="str">
            <v>Legal Services Manager</v>
          </cell>
          <cell r="F308" t="str">
            <v>Resolve all outstanding regulatory approvals backlog and ensure all permits are applied for at the time of new site build</v>
          </cell>
          <cell r="H308">
            <v>0.1</v>
          </cell>
          <cell r="I308">
            <v>1</v>
          </cell>
          <cell r="J308" t="str">
            <v>Ensure 100% of new site builds have all required permits before commencement.</v>
          </cell>
          <cell r="L308" t="str">
            <v>BABATUNDE OLANIYAN</v>
          </cell>
        </row>
        <row r="309">
          <cell r="A309">
            <v>19</v>
          </cell>
          <cell r="B309" t="str">
            <v>PAT00157</v>
          </cell>
          <cell r="C309" t="str">
            <v>OLOLADE FAFOWORA</v>
          </cell>
          <cell r="D309" t="str">
            <v>Legal Services Manager</v>
          </cell>
          <cell r="F309" t="str">
            <v>Resolve all outstanding regulatory approvals backlog and ensure all permits are applied for at the time of new site build</v>
          </cell>
          <cell r="H309">
            <v>0.05</v>
          </cell>
          <cell r="I309" t="str">
            <v>&lt;20%</v>
          </cell>
          <cell r="J309" t="str">
            <v>Reduce permit application processing time by 20% through process optimization.</v>
          </cell>
          <cell r="L309" t="str">
            <v>BABATUNDE OLANIYAN</v>
          </cell>
        </row>
        <row r="310">
          <cell r="A310">
            <v>19</v>
          </cell>
          <cell r="B310" t="str">
            <v>PAT00157</v>
          </cell>
          <cell r="C310" t="str">
            <v>OLOLADE FAFOWORA</v>
          </cell>
          <cell r="D310" t="str">
            <v>Legal Services Manager</v>
          </cell>
          <cell r="E310" t="str">
            <v>Provide legal support to Extended Networks Limited in line with DOA</v>
          </cell>
          <cell r="F310" t="str">
            <v>Provide legal support to Extended Networks Limited in line with DOA</v>
          </cell>
          <cell r="G310">
            <v>0.1</v>
          </cell>
          <cell r="H310">
            <v>0.05</v>
          </cell>
          <cell r="I310" t="str">
            <v>condu bi-annual</v>
          </cell>
          <cell r="J310" t="str">
            <v>Conduct at least two compliance audits per year for Extended Networks Limited.</v>
          </cell>
          <cell r="L310" t="str">
            <v>BABATUNDE OLANIYAN</v>
          </cell>
        </row>
        <row r="311">
          <cell r="A311">
            <v>19</v>
          </cell>
          <cell r="B311" t="str">
            <v>PAT00157</v>
          </cell>
          <cell r="C311" t="str">
            <v>OLOLADE FAFOWORA</v>
          </cell>
          <cell r="D311" t="str">
            <v>Legal Services Manager</v>
          </cell>
          <cell r="F311" t="str">
            <v>Provide legal support to Extended Networks Limited in line with DOA</v>
          </cell>
          <cell r="H311">
            <v>0.05</v>
          </cell>
          <cell r="I311" t="str">
            <v>quart</v>
          </cell>
          <cell r="J311" t="str">
            <v>Provide quarterly legal risk assessment reports to Extended Networks Limited leadership.</v>
          </cell>
          <cell r="L311" t="str">
            <v>BABATUNDE OLANIYAN</v>
          </cell>
        </row>
        <row r="312">
          <cell r="A312">
            <v>20</v>
          </cell>
          <cell r="B312" t="str">
            <v>PAT00021</v>
          </cell>
          <cell r="C312" t="str">
            <v>OLANREWAJU FAMAKINWA</v>
          </cell>
          <cell r="D312" t="str">
            <v>Head, Procurement</v>
          </cell>
          <cell r="E312" t="str">
            <v>Achieve Cost Efficiency and Spend Optimization</v>
          </cell>
          <cell r="F312" t="str">
            <v>Achieve Cost Efficiency and Spend Optimization</v>
          </cell>
          <cell r="G312">
            <v>0.4</v>
          </cell>
          <cell r="H312">
            <v>0.1</v>
          </cell>
          <cell r="J312" t="str">
            <v>Achieve at least 5-10% cost savings/cost avoidance on total procurement spend through negotiation, supplier consolidation, and strategic sourcing.</v>
          </cell>
          <cell r="L312" t="str">
            <v>OLADIPO BADRU</v>
          </cell>
        </row>
        <row r="313">
          <cell r="A313">
            <v>20</v>
          </cell>
          <cell r="B313" t="str">
            <v>PAT00021</v>
          </cell>
          <cell r="C313" t="str">
            <v>OLANREWAJU FAMAKINWA</v>
          </cell>
          <cell r="D313" t="str">
            <v>Head, Procurement</v>
          </cell>
          <cell r="F313" t="str">
            <v>Achieve Cost Efficiency and Spend Optimization</v>
          </cell>
          <cell r="H313">
            <v>0.2</v>
          </cell>
          <cell r="J313" t="str">
            <v>100% Strict Budget adherance based on Mgt approval and cash flow plan with finance team</v>
          </cell>
          <cell r="L313" t="str">
            <v>OLADIPO BADRU</v>
          </cell>
        </row>
        <row r="314">
          <cell r="A314">
            <v>20</v>
          </cell>
          <cell r="B314" t="str">
            <v>PAT00021</v>
          </cell>
          <cell r="C314" t="str">
            <v>OLANREWAJU FAMAKINWA</v>
          </cell>
          <cell r="D314" t="str">
            <v>Head, Procurement</v>
          </cell>
          <cell r="F314" t="str">
            <v>Achieve Cost Efficiency and Spend Optimization</v>
          </cell>
          <cell r="H314">
            <v>0.1</v>
          </cell>
          <cell r="J314" t="str">
            <v>90-95% cost efficiency, supply reliability, and operational effectiveness in diesel procurement</v>
          </cell>
          <cell r="L314" t="str">
            <v>OLADIPO BADRU</v>
          </cell>
        </row>
        <row r="315">
          <cell r="A315">
            <v>20</v>
          </cell>
          <cell r="B315" t="str">
            <v>PAT00021</v>
          </cell>
          <cell r="C315" t="str">
            <v>OLANREWAJU FAMAKINWA</v>
          </cell>
          <cell r="D315" t="str">
            <v>Head, Procurement</v>
          </cell>
          <cell r="E315" t="str">
            <v>Ensure Supplier Performance and Risk Management</v>
          </cell>
          <cell r="F315" t="str">
            <v>Ensure Supplier Performance and Risk Management</v>
          </cell>
          <cell r="G315">
            <v>0.15</v>
          </cell>
          <cell r="H315">
            <v>0.05</v>
          </cell>
          <cell r="J315" t="str">
            <v>Maintain a 90-95% on-time delivery rate from key suppliers.</v>
          </cell>
          <cell r="L315" t="str">
            <v>OLADIPO BADRU</v>
          </cell>
        </row>
        <row r="316">
          <cell r="A316">
            <v>20</v>
          </cell>
          <cell r="B316" t="str">
            <v>PAT00021</v>
          </cell>
          <cell r="C316" t="str">
            <v>OLANREWAJU FAMAKINWA</v>
          </cell>
          <cell r="D316" t="str">
            <v>Head, Procurement</v>
          </cell>
          <cell r="F316" t="str">
            <v>Ensure Supplier Performance and Risk Management</v>
          </cell>
          <cell r="H316">
            <v>0.05</v>
          </cell>
          <cell r="J316" t="str">
            <v>Stakeholder Satisfaction at 85-90% satisfaction rate from internal stakeholders for all projects based on user team requirement/speed of need.</v>
          </cell>
          <cell r="L316" t="str">
            <v>OLADIPO BADRU</v>
          </cell>
        </row>
        <row r="317">
          <cell r="A317">
            <v>20</v>
          </cell>
          <cell r="B317" t="str">
            <v>PAT00021</v>
          </cell>
          <cell r="C317" t="str">
            <v>OLANREWAJU FAMAKINWA</v>
          </cell>
          <cell r="D317" t="str">
            <v>Head, Procurement</v>
          </cell>
          <cell r="F317" t="str">
            <v>Ensure Supplier Performance and Risk Management</v>
          </cell>
          <cell r="H317">
            <v>0.05</v>
          </cell>
          <cell r="J317" t="str">
            <v>100% Contract availability on long terms services and major purchase on PAT Projects.</v>
          </cell>
          <cell r="L317" t="str">
            <v>OLADIPO BADRU</v>
          </cell>
        </row>
        <row r="318">
          <cell r="A318">
            <v>20</v>
          </cell>
          <cell r="B318" t="str">
            <v>PAT00021</v>
          </cell>
          <cell r="C318" t="str">
            <v>OLANREWAJU FAMAKINWA</v>
          </cell>
          <cell r="D318" t="str">
            <v>Head, Procurement</v>
          </cell>
          <cell r="E318" t="str">
            <v>Strengthen Procurement Processes and Compliance</v>
          </cell>
          <cell r="F318" t="str">
            <v>Strengthen Procurement Processes and Compliance</v>
          </cell>
          <cell r="G318">
            <v>0.2</v>
          </cell>
          <cell r="H318">
            <v>0.1</v>
          </cell>
          <cell r="J318" t="str">
            <v>Achieve 100% compliance with internal procurement policies and audit requirements.</v>
          </cell>
          <cell r="L318" t="str">
            <v>OLADIPO BADRU</v>
          </cell>
        </row>
        <row r="319">
          <cell r="A319">
            <v>20</v>
          </cell>
          <cell r="B319" t="str">
            <v>PAT00021</v>
          </cell>
          <cell r="C319" t="str">
            <v>OLANREWAJU FAMAKINWA</v>
          </cell>
          <cell r="D319" t="str">
            <v>Head, Procurement</v>
          </cell>
          <cell r="F319" t="str">
            <v>Strengthen Procurement Processes and Compliance</v>
          </cell>
          <cell r="H319">
            <v>0.05</v>
          </cell>
          <cell r="J319" t="str">
            <v>Reduce procurement cycle time from requisition to PO issuance by 10-20%.</v>
          </cell>
          <cell r="L319" t="str">
            <v>OLADIPO BADRU</v>
          </cell>
        </row>
        <row r="320">
          <cell r="A320">
            <v>20</v>
          </cell>
          <cell r="B320" t="str">
            <v>PAT00021</v>
          </cell>
          <cell r="C320" t="str">
            <v>OLANREWAJU FAMAKINWA</v>
          </cell>
          <cell r="D320" t="str">
            <v>Head, Procurement</v>
          </cell>
          <cell r="F320" t="str">
            <v>Strengthen Procurement Processes and Compliance</v>
          </cell>
          <cell r="H320">
            <v>0.05</v>
          </cell>
          <cell r="J320" t="str">
            <v>Digitize 100% of procurement transactions using the company’s ERP or procurement system.</v>
          </cell>
          <cell r="L320" t="str">
            <v>OLADIPO BADRU</v>
          </cell>
        </row>
        <row r="321">
          <cell r="A321">
            <v>20</v>
          </cell>
          <cell r="B321" t="str">
            <v>PAT00021</v>
          </cell>
          <cell r="C321" t="str">
            <v>OLANREWAJU FAMAKINWA</v>
          </cell>
          <cell r="D321" t="str">
            <v>Head, Procurement</v>
          </cell>
          <cell r="E321" t="str">
            <v>Build Strategic Supplier Relationships</v>
          </cell>
          <cell r="F321" t="str">
            <v>Build Strategic Supplier Relationships</v>
          </cell>
          <cell r="G321">
            <v>0.15</v>
          </cell>
          <cell r="H321">
            <v>7.4999999999999997E-2</v>
          </cell>
          <cell r="J321" t="str">
            <v>Develop strategic partnerships with at least 5 key vendors in critical categories.</v>
          </cell>
          <cell r="L321" t="str">
            <v>OLADIPO BADRU</v>
          </cell>
        </row>
        <row r="322">
          <cell r="A322">
            <v>20</v>
          </cell>
          <cell r="B322" t="str">
            <v>PAT00021</v>
          </cell>
          <cell r="C322" t="str">
            <v>OLANREWAJU FAMAKINWA</v>
          </cell>
          <cell r="D322" t="str">
            <v>Head, Procurement</v>
          </cell>
          <cell r="F322" t="str">
            <v>Build Strategic Supplier Relationships</v>
          </cell>
          <cell r="H322">
            <v>7.4999999999999997E-2</v>
          </cell>
          <cell r="J322" t="str">
            <v>Supplier Performance and Reliability at  95% on-time delivery, 98% quality compliance based on SOW</v>
          </cell>
          <cell r="L322" t="str">
            <v>OLADIPO BADRU</v>
          </cell>
        </row>
        <row r="323">
          <cell r="A323">
            <v>20</v>
          </cell>
          <cell r="B323" t="str">
            <v>PAT00021</v>
          </cell>
          <cell r="C323" t="str">
            <v>OLANREWAJU FAMAKINWA</v>
          </cell>
          <cell r="D323" t="str">
            <v>Head, Procurement</v>
          </cell>
          <cell r="E323" t="str">
            <v>Develop Procurement Team Capability</v>
          </cell>
          <cell r="F323" t="str">
            <v>Develop Procurement Team Capability</v>
          </cell>
          <cell r="G323">
            <v>0.1</v>
          </cell>
          <cell r="H323">
            <v>0.04</v>
          </cell>
          <cell r="J323" t="str">
            <v>Ensure 100% of team members complete procurement training or certification (e.g., CIPS, CPSM) within the year.</v>
          </cell>
          <cell r="L323" t="str">
            <v>OLADIPO BADRU</v>
          </cell>
        </row>
        <row r="324">
          <cell r="A324">
            <v>20</v>
          </cell>
          <cell r="B324" t="str">
            <v>PAT00021</v>
          </cell>
          <cell r="C324" t="str">
            <v>OLANREWAJU FAMAKINWA</v>
          </cell>
          <cell r="D324" t="str">
            <v>Head, Procurement</v>
          </cell>
          <cell r="F324" t="str">
            <v>Develop Procurement Team Capability</v>
          </cell>
          <cell r="H324">
            <v>0.04</v>
          </cell>
          <cell r="J324" t="str">
            <v>Conduct bi-annual team performance reviews and IDP (Individual Development Plans).</v>
          </cell>
          <cell r="L324" t="str">
            <v>OLADIPO BADRU</v>
          </cell>
        </row>
        <row r="325">
          <cell r="A325">
            <v>20</v>
          </cell>
          <cell r="B325" t="str">
            <v>PAT00021</v>
          </cell>
          <cell r="C325" t="str">
            <v>OLANREWAJU FAMAKINWA</v>
          </cell>
          <cell r="D325" t="str">
            <v>Head, Procurement</v>
          </cell>
          <cell r="F325" t="str">
            <v>Develop Procurement Team Capability</v>
          </cell>
          <cell r="H325">
            <v>0.02</v>
          </cell>
          <cell r="J325" t="str">
            <v>100% Warehouse process compliance on inventory Control and distribution management to different locations</v>
          </cell>
          <cell r="L325" t="str">
            <v>OLADIPO BADRU</v>
          </cell>
        </row>
        <row r="326">
          <cell r="A326">
            <v>21</v>
          </cell>
          <cell r="B326" t="str">
            <v>PAT00103</v>
          </cell>
          <cell r="C326" t="str">
            <v>OLANREWAJU AKINDELE</v>
          </cell>
          <cell r="D326" t="str">
            <v>Warehouse Manager</v>
          </cell>
          <cell r="E326" t="str">
            <v>Ensure a clean, safe, and hygienic warehouse environment at all times</v>
          </cell>
          <cell r="F326" t="str">
            <v>Ensure a clean, safe, and hygienic warehouse environment at all times</v>
          </cell>
          <cell r="G326">
            <v>0.1</v>
          </cell>
          <cell r="H326">
            <v>0.1</v>
          </cell>
          <cell r="J326" t="str">
            <v xml:space="preserve">Achieve 100% daily hygiene and cleanliness checklist compliance </v>
          </cell>
          <cell r="L326" t="str">
            <v>OLANREWAJU FAMAKINWA</v>
          </cell>
        </row>
        <row r="327">
          <cell r="A327">
            <v>21</v>
          </cell>
          <cell r="B327" t="str">
            <v>PAT00103</v>
          </cell>
          <cell r="C327" t="str">
            <v>OLANREWAJU AKINDELE</v>
          </cell>
          <cell r="D327" t="str">
            <v>Warehouse Manager</v>
          </cell>
          <cell r="E327" t="str">
            <v>Maintain full compliance with MRF processes for all dispatches</v>
          </cell>
          <cell r="F327" t="str">
            <v>Maintain full compliance with MRF processes for all dispatches</v>
          </cell>
          <cell r="G327">
            <v>0.2</v>
          </cell>
          <cell r="H327">
            <v>0.1</v>
          </cell>
          <cell r="J327" t="str">
            <v>Ensure 100% of dispatches meet MRF documentation and approval standards.</v>
          </cell>
          <cell r="L327" t="str">
            <v>OLANREWAJU FAMAKINWA</v>
          </cell>
        </row>
        <row r="328">
          <cell r="A328">
            <v>21</v>
          </cell>
          <cell r="B328" t="str">
            <v>PAT00103</v>
          </cell>
          <cell r="C328" t="str">
            <v>OLANREWAJU AKINDELE</v>
          </cell>
          <cell r="D328" t="str">
            <v>Warehouse Manager</v>
          </cell>
          <cell r="F328" t="str">
            <v>Maintain full compliance with MRF processes for all dispatches</v>
          </cell>
          <cell r="H328">
            <v>0.1</v>
          </cell>
          <cell r="J328" t="str">
            <v>Conduct and document monthly MRF compliance verification exercises with 100% completion.</v>
          </cell>
          <cell r="L328" t="str">
            <v>OLANREWAJU FAMAKINWA</v>
          </cell>
        </row>
        <row r="329">
          <cell r="A329">
            <v>21</v>
          </cell>
          <cell r="B329" t="str">
            <v>PAT00103</v>
          </cell>
          <cell r="C329" t="str">
            <v>OLANREWAJU AKINDELE</v>
          </cell>
          <cell r="D329" t="str">
            <v>Warehouse Manager</v>
          </cell>
          <cell r="E329" t="str">
            <v>Inventory Control Management</v>
          </cell>
          <cell r="F329" t="str">
            <v>Inventory Control Management</v>
          </cell>
          <cell r="G329">
            <v>0.2</v>
          </cell>
          <cell r="H329">
            <v>0.1</v>
          </cell>
          <cell r="J329" t="str">
            <v>Achieve 100% monthly reporting on inventory movement and company asset tracking.</v>
          </cell>
          <cell r="L329" t="str">
            <v>OLANREWAJU FAMAKINWA</v>
          </cell>
        </row>
        <row r="330">
          <cell r="A330">
            <v>21</v>
          </cell>
          <cell r="B330" t="str">
            <v>PAT00103</v>
          </cell>
          <cell r="C330" t="str">
            <v>OLANREWAJU AKINDELE</v>
          </cell>
          <cell r="D330" t="str">
            <v>Warehouse Manager</v>
          </cell>
          <cell r="F330" t="str">
            <v>Inventory Control Management</v>
          </cell>
          <cell r="H330">
            <v>0.1</v>
          </cell>
          <cell r="J330" t="str">
            <v>Ensure 100% inventory record accuracy through monthly cycle counts.</v>
          </cell>
          <cell r="L330" t="str">
            <v>OLANREWAJU FAMAKINWA</v>
          </cell>
        </row>
        <row r="331">
          <cell r="A331">
            <v>21</v>
          </cell>
          <cell r="B331" t="str">
            <v>PAT00103</v>
          </cell>
          <cell r="C331" t="str">
            <v>OLANREWAJU AKINDELE</v>
          </cell>
          <cell r="D331" t="str">
            <v>Warehouse Manager</v>
          </cell>
          <cell r="E331" t="str">
            <v>WH cost Control Management</v>
          </cell>
          <cell r="F331" t="str">
            <v>WH cost Control Management</v>
          </cell>
          <cell r="G331">
            <v>0.1</v>
          </cell>
          <cell r="H331">
            <v>0.1</v>
          </cell>
          <cell r="J331" t="str">
            <v>Achieve 100% on-time offloading of deliveries with zero demurrage occurrences.</v>
          </cell>
          <cell r="L331" t="str">
            <v>OLANREWAJU FAMAKINWA</v>
          </cell>
        </row>
        <row r="332">
          <cell r="A332">
            <v>21</v>
          </cell>
          <cell r="B332" t="str">
            <v>PAT00103</v>
          </cell>
          <cell r="C332" t="str">
            <v>OLANREWAJU AKINDELE</v>
          </cell>
          <cell r="D332" t="str">
            <v>Warehouse Manager</v>
          </cell>
          <cell r="E332" t="str">
            <v>Central WH reports and Month end Audit handlings</v>
          </cell>
          <cell r="F332" t="str">
            <v>Central WH reports and Month end Audit handlings</v>
          </cell>
          <cell r="G332">
            <v>0.2</v>
          </cell>
          <cell r="H332">
            <v>0.2</v>
          </cell>
          <cell r="J332" t="str">
            <v>100% Maintain inventory master reports and daily repoting for all PAT WH across the country, document necessary/ information for audit need when required and reprting</v>
          </cell>
          <cell r="L332" t="str">
            <v>OLANREWAJU FAMAKINWA</v>
          </cell>
        </row>
        <row r="333">
          <cell r="A333">
            <v>21</v>
          </cell>
          <cell r="B333" t="str">
            <v>PAT00103</v>
          </cell>
          <cell r="C333" t="str">
            <v>OLANREWAJU AKINDELE</v>
          </cell>
          <cell r="D333" t="str">
            <v>Warehouse Manager</v>
          </cell>
          <cell r="E333" t="str">
            <v>inbound and outbound transactions posted in ERP</v>
          </cell>
          <cell r="F333" t="str">
            <v>inbound and outbound transactions posted in ERP</v>
          </cell>
          <cell r="G333">
            <v>0.2</v>
          </cell>
          <cell r="H333">
            <v>0.2</v>
          </cell>
          <cell r="J333" t="str">
            <v xml:space="preserve">Ensure all inbound and outbound are posted on ERP within 24-48 hours upon activity action, </v>
          </cell>
          <cell r="L333" t="str">
            <v>OLANREWAJU FAMAKINWA</v>
          </cell>
        </row>
        <row r="334">
          <cell r="A334">
            <v>22</v>
          </cell>
          <cell r="B334" t="str">
            <v>PAT00032</v>
          </cell>
          <cell r="C334" t="str">
            <v>EKENE OBIAKOR</v>
          </cell>
          <cell r="D334" t="str">
            <v>Senior Procurement  Analyst</v>
          </cell>
          <cell r="E334" t="str">
            <v xml:space="preserve"> Ensure timely and efficient processing of purchase orders and vendor requests</v>
          </cell>
          <cell r="F334" t="str">
            <v xml:space="preserve"> Ensure timely and efficient processing of purchase orders and vendor requests</v>
          </cell>
          <cell r="G334">
            <v>0.3</v>
          </cell>
          <cell r="H334">
            <v>0.15</v>
          </cell>
          <cell r="J334" t="str">
            <v>Track and report 100% of logistics-related operational cost approvals with a focus on identifying savings opportunities.</v>
          </cell>
          <cell r="L334" t="str">
            <v>OLANREWAJU FAMAKINWA</v>
          </cell>
        </row>
        <row r="335">
          <cell r="A335">
            <v>22</v>
          </cell>
          <cell r="B335" t="str">
            <v>PAT00032</v>
          </cell>
          <cell r="C335" t="str">
            <v>EKENE OBIAKOR</v>
          </cell>
          <cell r="D335" t="str">
            <v>Senior Procurement  Analyst</v>
          </cell>
          <cell r="F335" t="str">
            <v xml:space="preserve"> Ensure timely and efficient processing of purchase orders and vendor requests</v>
          </cell>
          <cell r="H335">
            <v>0.15</v>
          </cell>
          <cell r="J335" t="str">
            <v>Ensure PO issuance/Others are closed within 24-48 Hours of sumbission of correct Purchase request</v>
          </cell>
          <cell r="L335" t="str">
            <v>OLANREWAJU FAMAKINWA</v>
          </cell>
        </row>
        <row r="336">
          <cell r="A336">
            <v>22</v>
          </cell>
          <cell r="B336" t="str">
            <v>PAT00032</v>
          </cell>
          <cell r="C336" t="str">
            <v>EKENE OBIAKOR</v>
          </cell>
          <cell r="D336" t="str">
            <v>Senior Procurement  Analyst</v>
          </cell>
          <cell r="E336" t="str">
            <v>Drive strategic sourcing and competitive bidder selection</v>
          </cell>
          <cell r="F336" t="str">
            <v>Drive strategic sourcing and competitive bidder selection</v>
          </cell>
          <cell r="G336">
            <v>0.2</v>
          </cell>
          <cell r="H336">
            <v>0.05</v>
          </cell>
          <cell r="J336" t="str">
            <v>Convert 100% of qualified business requests (RFP/RFQ) to finalized supplier selection decisions based on cost, quality, lead time, and sustainability.</v>
          </cell>
          <cell r="L336" t="str">
            <v>OLANREWAJU FAMAKINWA</v>
          </cell>
        </row>
        <row r="337">
          <cell r="A337">
            <v>22</v>
          </cell>
          <cell r="B337" t="str">
            <v>PAT00032</v>
          </cell>
          <cell r="C337" t="str">
            <v>EKENE OBIAKOR</v>
          </cell>
          <cell r="D337" t="str">
            <v>Senior Procurement  Analyst</v>
          </cell>
          <cell r="F337" t="str">
            <v>Drive strategic sourcing and competitive bidder selection</v>
          </cell>
          <cell r="H337">
            <v>0.05</v>
          </cell>
          <cell r="J337" t="str">
            <v>Improve turnaround time (TAT) for RFI, RFP, and RFQ processes by 20% quarter-over-quarter.</v>
          </cell>
          <cell r="L337" t="str">
            <v>OLANREWAJU FAMAKINWA</v>
          </cell>
        </row>
        <row r="338">
          <cell r="A338">
            <v>22</v>
          </cell>
          <cell r="B338" t="str">
            <v>PAT00032</v>
          </cell>
          <cell r="C338" t="str">
            <v>EKENE OBIAKOR</v>
          </cell>
          <cell r="D338" t="str">
            <v>Senior Procurement  Analyst</v>
          </cell>
          <cell r="F338" t="str">
            <v>Drive strategic sourcing and competitive bidder selection</v>
          </cell>
          <cell r="H338">
            <v>0.05</v>
          </cell>
          <cell r="J338" t="str">
            <v>Ensure all approved POs are sent to suppliers within 12 hours of final approval.</v>
          </cell>
          <cell r="L338" t="str">
            <v>OLANREWAJU FAMAKINWA</v>
          </cell>
        </row>
        <row r="339">
          <cell r="A339">
            <v>22</v>
          </cell>
          <cell r="B339" t="str">
            <v>PAT00032</v>
          </cell>
          <cell r="C339" t="str">
            <v>EKENE OBIAKOR</v>
          </cell>
          <cell r="D339" t="str">
            <v>Senior Procurement  Analyst</v>
          </cell>
          <cell r="F339" t="str">
            <v>Drive strategic sourcing and competitive bidder selection</v>
          </cell>
          <cell r="H339">
            <v>0.05</v>
          </cell>
          <cell r="J339" t="str">
            <v>Maintain 100% engagement reporting on new sourcing projects and supplier partnerships as assigned.</v>
          </cell>
          <cell r="L339" t="str">
            <v>OLANREWAJU FAMAKINWA</v>
          </cell>
        </row>
        <row r="340">
          <cell r="A340">
            <v>22</v>
          </cell>
          <cell r="B340" t="str">
            <v>PAT00032</v>
          </cell>
          <cell r="C340" t="str">
            <v>EKENE OBIAKOR</v>
          </cell>
          <cell r="D340" t="str">
            <v>Senior Procurement  Analyst</v>
          </cell>
          <cell r="E340" t="str">
            <v>Strengthen vendor accountability and performance tracking</v>
          </cell>
          <cell r="F340" t="str">
            <v>Strengthen vendor accountability and performance tracking</v>
          </cell>
          <cell r="G340">
            <v>0.3</v>
          </cell>
          <cell r="H340">
            <v>0.15</v>
          </cell>
          <cell r="J340" t="str">
            <v>Issue debit notes to non-compliant vendors within 12 hours of notification in 100% of applicable cases.</v>
          </cell>
          <cell r="L340" t="str">
            <v>OLANREWAJU FAMAKINWA</v>
          </cell>
        </row>
        <row r="341">
          <cell r="A341">
            <v>22</v>
          </cell>
          <cell r="B341" t="str">
            <v>PAT00032</v>
          </cell>
          <cell r="C341" t="str">
            <v>EKENE OBIAKOR</v>
          </cell>
          <cell r="D341" t="str">
            <v>Senior Procurement  Analyst</v>
          </cell>
          <cell r="F341" t="str">
            <v>Strengthen vendor accountability and performance tracking</v>
          </cell>
          <cell r="H341">
            <v>0.15</v>
          </cell>
          <cell r="J341" t="str">
            <v>Track and report vendor performance metrics quarterly, with at least 95% completeness rate.</v>
          </cell>
          <cell r="L341" t="str">
            <v>OLANREWAJU FAMAKINWA</v>
          </cell>
        </row>
        <row r="342">
          <cell r="A342">
            <v>22</v>
          </cell>
          <cell r="B342" t="str">
            <v>PAT00032</v>
          </cell>
          <cell r="C342" t="str">
            <v>EKENE OBIAKOR</v>
          </cell>
          <cell r="D342" t="str">
            <v>Senior Procurement  Analyst</v>
          </cell>
          <cell r="E342" t="str">
            <v>Improve stakeholder satisfaction and enforce internal controls</v>
          </cell>
          <cell r="F342" t="str">
            <v>Improve stakeholder satisfaction and enforce internal controls</v>
          </cell>
          <cell r="G342">
            <v>0.2</v>
          </cell>
          <cell r="H342">
            <v>0.05</v>
          </cell>
          <cell r="J342" t="str">
            <v>Achieve 100% follow-up on all assigned procurement and delivery timelines, ensuring closure as per SLA.</v>
          </cell>
          <cell r="L342" t="str">
            <v>OLANREWAJU FAMAKINWA</v>
          </cell>
        </row>
        <row r="343">
          <cell r="A343">
            <v>22</v>
          </cell>
          <cell r="B343" t="str">
            <v>PAT00032</v>
          </cell>
          <cell r="C343" t="str">
            <v>EKENE OBIAKOR</v>
          </cell>
          <cell r="D343" t="str">
            <v>Senior Procurement  Analyst</v>
          </cell>
          <cell r="F343" t="str">
            <v>Improve stakeholder satisfaction and enforce internal controls</v>
          </cell>
          <cell r="H343">
            <v>0.05</v>
          </cell>
          <cell r="J343" t="str">
            <v>Attain a stakeholder satisfaction rating of 90%+ in bi-annual internal feedback surveys.</v>
          </cell>
          <cell r="L343" t="str">
            <v>OLANREWAJU FAMAKINWA</v>
          </cell>
        </row>
        <row r="344">
          <cell r="A344">
            <v>22</v>
          </cell>
          <cell r="B344" t="str">
            <v>PAT00032</v>
          </cell>
          <cell r="C344" t="str">
            <v>EKENE OBIAKOR</v>
          </cell>
          <cell r="D344" t="str">
            <v>Senior Procurement  Analyst</v>
          </cell>
          <cell r="F344" t="str">
            <v>Improve stakeholder satisfaction and enforce internal controls</v>
          </cell>
          <cell r="H344">
            <v>0.05</v>
          </cell>
          <cell r="J344" t="str">
            <v>Ensure 100% of vendor payment requests are tracked from draft to final sign-off using an organized and updated database.</v>
          </cell>
          <cell r="L344" t="str">
            <v>OLANREWAJU FAMAKINWA</v>
          </cell>
        </row>
        <row r="345">
          <cell r="A345">
            <v>22</v>
          </cell>
          <cell r="B345" t="str">
            <v>PAT00032</v>
          </cell>
          <cell r="C345" t="str">
            <v>EKENE OBIAKOR</v>
          </cell>
          <cell r="D345" t="str">
            <v>Senior Procurement  Analyst</v>
          </cell>
          <cell r="F345" t="str">
            <v>Improve stakeholder satisfaction and enforce internal controls</v>
          </cell>
          <cell r="H345">
            <v>0.05</v>
          </cell>
          <cell r="J345" t="str">
            <v>Archive 100% of completed procurement documentation in compliance with audit and internal control requirements.</v>
          </cell>
          <cell r="L345" t="str">
            <v>OLANREWAJU FAMAKINWA</v>
          </cell>
        </row>
        <row r="346">
          <cell r="A346">
            <v>23</v>
          </cell>
          <cell r="B346" t="str">
            <v>PAT00125</v>
          </cell>
          <cell r="C346" t="str">
            <v>FEMI OBASUNLOYE</v>
          </cell>
          <cell r="D346" t="str">
            <v>Senior Procurement  Analyst</v>
          </cell>
          <cell r="E346" t="str">
            <v>Daily Procurement Engagement Tracking</v>
          </cell>
          <cell r="F346" t="str">
            <v>Daily Procurement Engagement Tracking</v>
          </cell>
          <cell r="G346">
            <v>0.1</v>
          </cell>
          <cell r="H346">
            <v>0.05</v>
          </cell>
          <cell r="J346" t="str">
            <v>Track 100% of procurement engagements daily, including vendor and internal user requests.</v>
          </cell>
          <cell r="L346" t="str">
            <v>OLANREWAJU FAMAKINWA</v>
          </cell>
        </row>
        <row r="347">
          <cell r="A347">
            <v>23</v>
          </cell>
          <cell r="B347" t="str">
            <v>PAT00125</v>
          </cell>
          <cell r="C347" t="str">
            <v>FEMI OBASUNLOYE</v>
          </cell>
          <cell r="D347" t="str">
            <v>Senior Procurement  Analyst</v>
          </cell>
          <cell r="F347" t="str">
            <v>Daily Procurement Engagement Tracking</v>
          </cell>
          <cell r="H347">
            <v>0.05</v>
          </cell>
          <cell r="J347" t="str">
            <v>Follow up on 100% of assigned tasks to ensure closure within agreed timelines.</v>
          </cell>
          <cell r="L347" t="str">
            <v>OLANREWAJU FAMAKINWA</v>
          </cell>
        </row>
        <row r="348">
          <cell r="A348">
            <v>23</v>
          </cell>
          <cell r="B348" t="str">
            <v>PAT00125</v>
          </cell>
          <cell r="C348" t="str">
            <v>FEMI OBASUNLOYE</v>
          </cell>
          <cell r="D348" t="str">
            <v>Senior Procurement  Analyst</v>
          </cell>
          <cell r="E348" t="str">
            <v xml:space="preserve">Logistics Cost Management, </v>
          </cell>
          <cell r="F348" t="str">
            <v xml:space="preserve">Logistics Cost Management, </v>
          </cell>
          <cell r="G348">
            <v>0.1</v>
          </cell>
          <cell r="H348">
            <v>0.1</v>
          </cell>
          <cell r="J348" t="str">
            <v>Support on operational cost approvals on Logistics (100% Savings tracking), inclusive invoice tracking/review based on contract rates adherance</v>
          </cell>
          <cell r="L348" t="str">
            <v>OLANREWAJU FAMAKINWA</v>
          </cell>
        </row>
        <row r="349">
          <cell r="A349">
            <v>23</v>
          </cell>
          <cell r="B349" t="str">
            <v>PAT00125</v>
          </cell>
          <cell r="C349" t="str">
            <v>FEMI OBASUNLOYE</v>
          </cell>
          <cell r="D349" t="str">
            <v>Senior Procurement  Analyst</v>
          </cell>
          <cell r="E349" t="str">
            <v>PO Issuance and Documentation Review, Bid Process and Supplier Selection</v>
          </cell>
          <cell r="F349" t="str">
            <v>PO Issuance and Documentation Review, Bid Process and Supplier Selection</v>
          </cell>
          <cell r="G349">
            <v>0.2</v>
          </cell>
          <cell r="H349">
            <v>0.1</v>
          </cell>
          <cell r="J349" t="str">
            <v>Review and support on all procurement on PO issuance/Others: within 24-48 Hours of sumbission of correct documentation/ SOW</v>
          </cell>
          <cell r="L349" t="str">
            <v>OLANREWAJU FAMAKINWA</v>
          </cell>
        </row>
        <row r="350">
          <cell r="A350">
            <v>23</v>
          </cell>
          <cell r="B350" t="str">
            <v>PAT00125</v>
          </cell>
          <cell r="C350" t="str">
            <v>FEMI OBASUNLOYE</v>
          </cell>
          <cell r="D350" t="str">
            <v>Senior Procurement  Analyst</v>
          </cell>
          <cell r="F350" t="str">
            <v>PO Issuance and Documentation Review, Bid Process and Supplier Selection</v>
          </cell>
          <cell r="H350">
            <v>0.1</v>
          </cell>
          <cell r="J350" t="str">
            <v>Convert business purchase requests (RFP/RFQ) to selection of best bidder considering cost, quality, leadtime and sustainability from source to service/Supply. Closure within 24 hours of receipt</v>
          </cell>
          <cell r="L350" t="str">
            <v>OLANREWAJU FAMAKINWA</v>
          </cell>
        </row>
        <row r="351">
          <cell r="A351">
            <v>23</v>
          </cell>
          <cell r="B351" t="str">
            <v>PAT00125</v>
          </cell>
          <cell r="C351" t="str">
            <v>FEMI OBASUNLOYE</v>
          </cell>
          <cell r="D351" t="str">
            <v>Senior Procurement  Analyst</v>
          </cell>
          <cell r="E351" t="str">
            <v>Build Strategic Supplier Relationships &amp;Contract Tracker and Database Management</v>
          </cell>
          <cell r="F351" t="str">
            <v>Build Strategic Supplier Relationships &amp;Contract Tracker and Database Management</v>
          </cell>
          <cell r="G351">
            <v>0.2</v>
          </cell>
          <cell r="H351">
            <v>0.1</v>
          </cell>
          <cell r="J351" t="str">
            <v>100% Reporting and project engagement with new partners as assigned on day to day basis</v>
          </cell>
          <cell r="L351" t="str">
            <v>OLANREWAJU FAMAKINWA</v>
          </cell>
        </row>
        <row r="352">
          <cell r="A352">
            <v>23</v>
          </cell>
          <cell r="B352" t="str">
            <v>PAT00125</v>
          </cell>
          <cell r="C352" t="str">
            <v>FEMI OBASUNLOYE</v>
          </cell>
          <cell r="D352" t="str">
            <v>Senior Procurement  Analyst</v>
          </cell>
          <cell r="F352" t="str">
            <v>Build Strategic Supplier Relationships &amp;Contract Tracker and Database Management</v>
          </cell>
          <cell r="H352">
            <v>0.1</v>
          </cell>
          <cell r="J352" t="str">
            <v>Maintain Tracker &amp; Database Management for PAT Vendor Contract agreements 100% (from draft to sign off and archiving)</v>
          </cell>
          <cell r="L352" t="str">
            <v>OLANREWAJU FAMAKINWA</v>
          </cell>
        </row>
        <row r="353">
          <cell r="A353">
            <v>23</v>
          </cell>
          <cell r="B353" t="str">
            <v>PAT00125</v>
          </cell>
          <cell r="C353" t="str">
            <v>FEMI OBASUNLOYE</v>
          </cell>
          <cell r="D353" t="str">
            <v>Senior Procurement  Analyst</v>
          </cell>
          <cell r="E353" t="str">
            <v xml:space="preserve">Achieve Cost Efficiency and Warehouse Relationship Management </v>
          </cell>
          <cell r="F353" t="str">
            <v xml:space="preserve">Achieve Cost Efficiency and Warehouse Relationship Management </v>
          </cell>
          <cell r="G353">
            <v>0.2</v>
          </cell>
          <cell r="H353">
            <v>0.05</v>
          </cell>
          <cell r="J353" t="str">
            <v>Track and close 100% of procurement actions related to government remittances, approvals, and compliance.</v>
          </cell>
          <cell r="L353" t="str">
            <v>OLANREWAJU FAMAKINWA</v>
          </cell>
        </row>
        <row r="354">
          <cell r="A354">
            <v>23</v>
          </cell>
          <cell r="B354" t="str">
            <v>PAT00125</v>
          </cell>
          <cell r="C354" t="str">
            <v>FEMI OBASUNLOYE</v>
          </cell>
          <cell r="D354" t="str">
            <v>Senior Procurement  Analyst</v>
          </cell>
          <cell r="F354" t="str">
            <v xml:space="preserve">Achieve Cost Efficiency and Warehouse Relationship Management </v>
          </cell>
          <cell r="H354">
            <v>0.1</v>
          </cell>
          <cell r="J354" t="str">
            <v>Collaborate with WH to resolve procurement issues within 48 hours.</v>
          </cell>
          <cell r="L354" t="str">
            <v>OLANREWAJU FAMAKINWA</v>
          </cell>
        </row>
        <row r="355">
          <cell r="A355">
            <v>23</v>
          </cell>
          <cell r="B355" t="str">
            <v>PAT00125</v>
          </cell>
          <cell r="C355" t="str">
            <v>FEMI OBASUNLOYE</v>
          </cell>
          <cell r="D355" t="str">
            <v>Senior Procurement  Analyst</v>
          </cell>
          <cell r="F355" t="str">
            <v xml:space="preserve">Achieve Cost Efficiency and Warehouse Relationship Management </v>
          </cell>
          <cell r="H355">
            <v>0.05</v>
          </cell>
          <cell r="J355" t="str">
            <v>Submit monthly procurement support reports with 100% accuracy and timeliness.</v>
          </cell>
          <cell r="L355" t="str">
            <v>OLANREWAJU FAMAKINWA</v>
          </cell>
        </row>
        <row r="356">
          <cell r="A356">
            <v>23</v>
          </cell>
          <cell r="B356" t="str">
            <v>PAT00125</v>
          </cell>
          <cell r="C356" t="str">
            <v>FEMI OBASUNLOYE</v>
          </cell>
          <cell r="D356" t="str">
            <v>Senior Procurement  Analyst</v>
          </cell>
          <cell r="E356" t="str">
            <v>Technical Vendor Sourcing</v>
          </cell>
          <cell r="F356" t="str">
            <v>Technical Vendor Sourcing</v>
          </cell>
          <cell r="G356">
            <v>0.2</v>
          </cell>
          <cell r="H356">
            <v>0.05</v>
          </cell>
          <cell r="J356" t="str">
            <v>Execute 100% of technical vendor RFQ/RFP processes for new purchase requests within agreed timelines.</v>
          </cell>
          <cell r="L356" t="str">
            <v>OLANREWAJU FAMAKINWA</v>
          </cell>
        </row>
        <row r="357">
          <cell r="A357">
            <v>23</v>
          </cell>
          <cell r="B357" t="str">
            <v>PAT00125</v>
          </cell>
          <cell r="C357" t="str">
            <v>FEMI OBASUNLOYE</v>
          </cell>
          <cell r="D357" t="str">
            <v>Senior Procurement  Analyst</v>
          </cell>
          <cell r="F357" t="str">
            <v>Technical Vendor Sourcing</v>
          </cell>
          <cell r="H357">
            <v>0.05</v>
          </cell>
          <cell r="J357" t="str">
            <v>Review and negotiate 100% of commercial terms before final supplier engagement.</v>
          </cell>
          <cell r="L357" t="str">
            <v>OLANREWAJU FAMAKINWA</v>
          </cell>
        </row>
        <row r="358">
          <cell r="A358">
            <v>23</v>
          </cell>
          <cell r="B358" t="str">
            <v>PAT00125</v>
          </cell>
          <cell r="C358" t="str">
            <v>FEMI OBASUNLOYE</v>
          </cell>
          <cell r="D358" t="str">
            <v>Senior Procurement  Analyst</v>
          </cell>
          <cell r="F358" t="str">
            <v>Technical Vendor Sourcing</v>
          </cell>
          <cell r="H358">
            <v>0.05</v>
          </cell>
          <cell r="J358" t="str">
            <v>Maintain a database of all technical sourcing engagements with 100% completeness.</v>
          </cell>
          <cell r="L358" t="str">
            <v>OLANREWAJU FAMAKINWA</v>
          </cell>
        </row>
        <row r="359">
          <cell r="A359">
            <v>23</v>
          </cell>
          <cell r="B359" t="str">
            <v>PAT00125</v>
          </cell>
          <cell r="C359" t="str">
            <v>FEMI OBASUNLOYE</v>
          </cell>
          <cell r="D359" t="str">
            <v>Senior Procurement  Analyst</v>
          </cell>
          <cell r="F359" t="str">
            <v>Technical Vendor Sourcing</v>
          </cell>
          <cell r="H359">
            <v>0.05</v>
          </cell>
          <cell r="J359" t="str">
            <v>Achieve 90%+ stakeholder satisfaction score for technical procurement processes.</v>
          </cell>
          <cell r="L359" t="str">
            <v>OLANREWAJU FAMAKINWA</v>
          </cell>
        </row>
        <row r="360">
          <cell r="A360">
            <v>24</v>
          </cell>
          <cell r="B360" t="str">
            <v>PAT00004</v>
          </cell>
          <cell r="C360" t="str">
            <v>ADEBAYO SALAWU</v>
          </cell>
          <cell r="D360" t="str">
            <v>Warehouse Coordinator</v>
          </cell>
          <cell r="E360" t="str">
            <v xml:space="preserve"> WH hygiene and cleanliness</v>
          </cell>
          <cell r="F360" t="str">
            <v xml:space="preserve"> WH hygiene and cleanliness</v>
          </cell>
          <cell r="G360">
            <v>0.1</v>
          </cell>
          <cell r="H360">
            <v>0.1</v>
          </cell>
          <cell r="J360" t="str">
            <v>100% warehouse hygiene and cleanliness is always done daily and manage the team effectiveness</v>
          </cell>
          <cell r="L360" t="str">
            <v>OLANREWAJU FAMAKINWA</v>
          </cell>
        </row>
        <row r="361">
          <cell r="A361">
            <v>24</v>
          </cell>
          <cell r="B361" t="str">
            <v>PAT00004</v>
          </cell>
          <cell r="C361" t="str">
            <v>ADEBAYO SALAWU</v>
          </cell>
          <cell r="D361" t="str">
            <v>Warehouse Coordinator</v>
          </cell>
          <cell r="E361" t="str">
            <v>Inhouse MRF compliance for all dispatches</v>
          </cell>
          <cell r="F361" t="str">
            <v>Inhouse MRF compliance for all dispatches</v>
          </cell>
          <cell r="G361">
            <v>0.2</v>
          </cell>
          <cell r="H361">
            <v>0.2</v>
          </cell>
          <cell r="J361" t="str">
            <v>MRF 100% compliance for all dispatch from the warehouse after proper approval. preparation of monthly verification exercise.</v>
          </cell>
          <cell r="L361" t="str">
            <v>OLANREWAJU FAMAKINWA</v>
          </cell>
        </row>
        <row r="362">
          <cell r="A362">
            <v>24</v>
          </cell>
          <cell r="B362" t="str">
            <v>PAT00004</v>
          </cell>
          <cell r="C362" t="str">
            <v>ADEBAYO SALAWU</v>
          </cell>
          <cell r="D362" t="str">
            <v>Warehouse Coordinator</v>
          </cell>
          <cell r="E362" t="str">
            <v>Inventory Control Management</v>
          </cell>
          <cell r="F362" t="str">
            <v>Inventory Control Management</v>
          </cell>
          <cell r="G362">
            <v>0.2</v>
          </cell>
          <cell r="H362">
            <v>0.1</v>
          </cell>
          <cell r="J362" t="str">
            <v>Measure and report the effectiveness of warehouse activities and Deliverables inclusive other job assigned</v>
          </cell>
          <cell r="L362" t="str">
            <v>OLANREWAJU FAMAKINWA</v>
          </cell>
        </row>
        <row r="363">
          <cell r="A363">
            <v>24</v>
          </cell>
          <cell r="B363" t="str">
            <v>PAT00004</v>
          </cell>
          <cell r="C363" t="str">
            <v>ADEBAYO SALAWU</v>
          </cell>
          <cell r="D363" t="str">
            <v>Warehouse Coordinator</v>
          </cell>
          <cell r="F363" t="str">
            <v>Inventory Control Management</v>
          </cell>
          <cell r="H363">
            <v>0.1</v>
          </cell>
          <cell r="J363" t="str">
            <v>100% Organize and maintain inventory/company asset tracking reporting for management reporting</v>
          </cell>
          <cell r="L363" t="str">
            <v>OLANREWAJU FAMAKINWA</v>
          </cell>
        </row>
        <row r="364">
          <cell r="A364">
            <v>24</v>
          </cell>
          <cell r="B364" t="str">
            <v>PAT00004</v>
          </cell>
          <cell r="C364" t="str">
            <v>ADEBAYO SALAWU</v>
          </cell>
          <cell r="D364" t="str">
            <v>Warehouse Coordinator</v>
          </cell>
          <cell r="E364" t="str">
            <v>WH cost Control Management</v>
          </cell>
          <cell r="F364" t="str">
            <v>WH cost Control Management</v>
          </cell>
          <cell r="G364">
            <v>0.1</v>
          </cell>
          <cell r="H364">
            <v>0.1</v>
          </cell>
          <cell r="J364" t="str">
            <v>Ensure deliveries are offloaded timely with zero (0) demurrage</v>
          </cell>
          <cell r="L364" t="str">
            <v>OLANREWAJU FAMAKINWA</v>
          </cell>
        </row>
        <row r="365">
          <cell r="A365">
            <v>24</v>
          </cell>
          <cell r="B365" t="str">
            <v>PAT00004</v>
          </cell>
          <cell r="C365" t="str">
            <v>ADEBAYO SALAWU</v>
          </cell>
          <cell r="D365" t="str">
            <v>Warehouse Coordinator</v>
          </cell>
          <cell r="E365" t="str">
            <v>Central WH reports and Month end Audit handlings</v>
          </cell>
          <cell r="F365" t="str">
            <v>Central WH reports and Month end Audit handlings</v>
          </cell>
          <cell r="G365">
            <v>0.2</v>
          </cell>
          <cell r="H365">
            <v>0.2</v>
          </cell>
          <cell r="J365" t="str">
            <v>100% Maintain inventory master reports and daily repoting for all PAT WH across the country, document necessary/ information for audit need when required and reprting</v>
          </cell>
          <cell r="L365" t="str">
            <v>OLANREWAJU FAMAKINWA</v>
          </cell>
        </row>
        <row r="366">
          <cell r="A366">
            <v>24</v>
          </cell>
          <cell r="B366" t="str">
            <v>PAT00004</v>
          </cell>
          <cell r="C366" t="str">
            <v>ADEBAYO SALAWU</v>
          </cell>
          <cell r="D366" t="str">
            <v>Warehouse Coordinator</v>
          </cell>
          <cell r="E366" t="str">
            <v>inbound and outbound transactions posted in ERP</v>
          </cell>
          <cell r="F366" t="str">
            <v>inbound and outbound transactions posted in ERP</v>
          </cell>
          <cell r="G366">
            <v>0.2</v>
          </cell>
          <cell r="H366">
            <v>0.2</v>
          </cell>
          <cell r="J366" t="str">
            <v xml:space="preserve">Ensure all inbound and outbound are posted on ERP within 24-48 hours upon activity action, </v>
          </cell>
          <cell r="L366" t="str">
            <v>OLANREWAJU FAMAKINWA</v>
          </cell>
        </row>
        <row r="367">
          <cell r="A367">
            <v>25</v>
          </cell>
          <cell r="B367" t="str">
            <v>PAT00056</v>
          </cell>
          <cell r="C367" t="str">
            <v>LAMIDI YUSUF</v>
          </cell>
          <cell r="D367" t="str">
            <v>Warehouse Offcer</v>
          </cell>
          <cell r="E367" t="str">
            <v>Ensure a consistently clean and hygienic warehouse environment through daily sanitation routines and team supervision.</v>
          </cell>
          <cell r="F367" t="str">
            <v>Ensure a consistently clean and hygienic warehouse environment through daily sanitation routines and team supervision.</v>
          </cell>
          <cell r="G367">
            <v>0.1</v>
          </cell>
          <cell r="H367">
            <v>0.1</v>
          </cell>
          <cell r="J367" t="str">
            <v>100% warehouse hygiene and cleanliness is always done daily</v>
          </cell>
          <cell r="L367" t="str">
            <v>OLANREWAJU FAMAKINWA</v>
          </cell>
        </row>
        <row r="368">
          <cell r="A368">
            <v>25</v>
          </cell>
          <cell r="B368" t="str">
            <v>PAT00056</v>
          </cell>
          <cell r="C368" t="str">
            <v>LAMIDI YUSUF</v>
          </cell>
          <cell r="D368" t="str">
            <v>Warehouse Offcer</v>
          </cell>
          <cell r="E368" t="str">
            <v>Achieve 100% compliance with Material Request Form (MRF) protocols and ensure real-time, accurate updates to ERP Bincard systems.</v>
          </cell>
          <cell r="F368" t="str">
            <v>Achieve 100% compliance with Material Request Form (MRF) protocols and ensure real-time, accurate updates to ERP Bincard systems.</v>
          </cell>
          <cell r="G368">
            <v>0.2</v>
          </cell>
          <cell r="H368">
            <v>0.2</v>
          </cell>
          <cell r="J368" t="str">
            <v>MRF 100% compliance for all dispatch from the warehouse and Bincard are updated correctly for ERP daily updates</v>
          </cell>
          <cell r="L368" t="str">
            <v>OLANREWAJU FAMAKINWA</v>
          </cell>
        </row>
        <row r="369">
          <cell r="A369">
            <v>25</v>
          </cell>
          <cell r="B369" t="str">
            <v>PAT00056</v>
          </cell>
          <cell r="C369" t="str">
            <v>LAMIDI YUSUF</v>
          </cell>
          <cell r="D369" t="str">
            <v>Warehouse Offcer</v>
          </cell>
          <cell r="E369" t="str">
            <v>Monitor and report all warehouse operations and deliverables with 100% accuracy and timeliness to support informed decision-making.</v>
          </cell>
          <cell r="F369" t="str">
            <v>Monitor and report all warehouse operations and deliverables with 100% accuracy and timeliness to support informed decision-making.</v>
          </cell>
          <cell r="G369">
            <v>0.1</v>
          </cell>
          <cell r="H369">
            <v>0.1</v>
          </cell>
          <cell r="J369" t="str">
            <v>Measure and report the effectiveness of warehousing activities and Deliverables</v>
          </cell>
          <cell r="L369" t="str">
            <v>OLANREWAJU FAMAKINWA</v>
          </cell>
        </row>
        <row r="370">
          <cell r="A370">
            <v>25</v>
          </cell>
          <cell r="B370" t="str">
            <v>PAT00056</v>
          </cell>
          <cell r="C370" t="str">
            <v>LAMIDI YUSUF</v>
          </cell>
          <cell r="D370" t="str">
            <v>Warehouse Offcer</v>
          </cell>
          <cell r="E370" t="str">
            <v>Maintain 100% inventory and asset accuracy through routine stock audits and reconciliation with ERP records.</v>
          </cell>
          <cell r="F370" t="str">
            <v>Maintain 100% inventory and asset accuracy through routine stock audits and reconciliation with ERP records.</v>
          </cell>
          <cell r="G370">
            <v>0.2</v>
          </cell>
          <cell r="H370">
            <v>0.2</v>
          </cell>
          <cell r="J370" t="str">
            <v>100% Organize and maintain inventory/company asset tracking</v>
          </cell>
          <cell r="L370" t="str">
            <v>OLANREWAJU FAMAKINWA</v>
          </cell>
        </row>
        <row r="371">
          <cell r="A371">
            <v>25</v>
          </cell>
          <cell r="B371" t="str">
            <v>PAT00056</v>
          </cell>
          <cell r="C371" t="str">
            <v>LAMIDI YUSUF</v>
          </cell>
          <cell r="D371" t="str">
            <v>Warehouse Offcer</v>
          </cell>
          <cell r="E371" t="str">
            <v>Ensure 100% on-time deliveries and eliminate demurrage costs by proactively managing dispatch schedules and logistics coordination.</v>
          </cell>
          <cell r="F371" t="str">
            <v>Ensure 100% on-time deliveries and eliminate demurrage costs by proactively managing dispatch schedules and logistics coordination.</v>
          </cell>
          <cell r="G371">
            <v>0.1</v>
          </cell>
          <cell r="H371">
            <v>0.1</v>
          </cell>
          <cell r="J371" t="str">
            <v>Ensure deliveries are offloaded timely with zero (0) demurrage</v>
          </cell>
          <cell r="L371" t="str">
            <v>OLANREWAJU FAMAKINWA</v>
          </cell>
        </row>
        <row r="372">
          <cell r="A372">
            <v>25</v>
          </cell>
          <cell r="B372" t="str">
            <v>PAT00056</v>
          </cell>
          <cell r="C372" t="str">
            <v>LAMIDI YUSUF</v>
          </cell>
          <cell r="D372" t="str">
            <v>Warehouse Offcer</v>
          </cell>
          <cell r="E372" t="str">
            <v>Maintain accurate and up-to-date physical inventory records through periodic verification and alignment with system data.</v>
          </cell>
          <cell r="F372" t="str">
            <v>Maintain accurate and up-to-date physical inventory records through periodic verification and alignment with system data.</v>
          </cell>
          <cell r="G372">
            <v>0.1</v>
          </cell>
          <cell r="H372">
            <v>0.1</v>
          </cell>
          <cell r="J372" t="str">
            <v>100% Maintain physical inventory records, document necessary information for physical inbound/dispatch from the WH. Inclusive other assigned jobs at the WH</v>
          </cell>
          <cell r="L372" t="str">
            <v>OLANREWAJU FAMAKINWA</v>
          </cell>
        </row>
        <row r="373">
          <cell r="A373">
            <v>25</v>
          </cell>
          <cell r="B373" t="str">
            <v>PAT00056</v>
          </cell>
          <cell r="C373" t="str">
            <v>LAMIDI YUSUF</v>
          </cell>
          <cell r="D373" t="str">
            <v>Warehouse Offcer</v>
          </cell>
          <cell r="E373" t="str">
            <v>Ensure proper handling, storage, and documentation of high-value outdoor assets and equipment to prevent loss or damage.</v>
          </cell>
          <cell r="F373" t="str">
            <v>Ensure proper handling, storage, and documentation of high-value outdoor assets and equipment to prevent loss or damage.</v>
          </cell>
          <cell r="G373">
            <v>0.2</v>
          </cell>
          <cell r="H373">
            <v>0.2</v>
          </cell>
          <cell r="J373" t="str">
            <v>Ensure all WH outdoor assets inventories are properly arranged with 100% responsibility, also to supervise forklift usage/trucks loading for outbound delivery</v>
          </cell>
          <cell r="L373" t="str">
            <v>OLANREWAJU FAMAKINWA</v>
          </cell>
        </row>
        <row r="374">
          <cell r="A374">
            <v>26</v>
          </cell>
          <cell r="B374" t="str">
            <v>PAT00141</v>
          </cell>
          <cell r="C374" t="str">
            <v>OLUWATOBI OLAJIDE</v>
          </cell>
          <cell r="D374" t="str">
            <v>Financial Planning and Analysis Specialist</v>
          </cell>
          <cell r="E374" t="str">
            <v>Drive revenue and gross profit through contracting and value assurance</v>
          </cell>
          <cell r="F374" t="str">
            <v>Drive revenue and gross profit through contracting and value assurance</v>
          </cell>
          <cell r="G374">
            <v>0.05</v>
          </cell>
          <cell r="H374">
            <v>0.05</v>
          </cell>
          <cell r="I374">
            <v>1</v>
          </cell>
          <cell r="J374" t="str">
            <v>Ensure 100% budget availability for the procurement, deployment, and installation of batteries across 150 targeted sites and diesel generators in line with budget</v>
          </cell>
          <cell r="L374" t="str">
            <v>OLAREWAJU IBRAHEEM</v>
          </cell>
        </row>
        <row r="375">
          <cell r="A375">
            <v>26</v>
          </cell>
          <cell r="B375" t="str">
            <v>PAT00141</v>
          </cell>
          <cell r="C375" t="str">
            <v>OLUWATOBI OLAJIDE</v>
          </cell>
          <cell r="D375" t="str">
            <v>Financial Planning and Analysis Specialist</v>
          </cell>
          <cell r="E375" t="str">
            <v>Ensure capex spend in line with company needs</v>
          </cell>
          <cell r="F375" t="str">
            <v>Ensure capex spend in line with company needs</v>
          </cell>
          <cell r="G375">
            <v>0.2</v>
          </cell>
          <cell r="H375">
            <v>0.1</v>
          </cell>
          <cell r="I375">
            <v>1</v>
          </cell>
          <cell r="J375" t="str">
            <v>Ensure 100% alignment of capex spending with approved strategic plans.</v>
          </cell>
          <cell r="L375" t="str">
            <v>OLAREWAJU IBRAHEEM</v>
          </cell>
        </row>
        <row r="376">
          <cell r="A376">
            <v>26</v>
          </cell>
          <cell r="B376" t="str">
            <v>PAT00141</v>
          </cell>
          <cell r="C376" t="str">
            <v>OLUWATOBI OLAJIDE</v>
          </cell>
          <cell r="D376" t="str">
            <v>Financial Planning and Analysis Specialist</v>
          </cell>
          <cell r="F376" t="str">
            <v>Ensure capex spend in line with company needs</v>
          </cell>
          <cell r="H376">
            <v>0.1</v>
          </cell>
          <cell r="I376" t="str">
            <v>&lt;5%</v>
          </cell>
          <cell r="J376" t="str">
            <v>Reduce unplanned capex variance to less than 5% of the annual budget.</v>
          </cell>
          <cell r="L376" t="str">
            <v>OLAREWAJU IBRAHEEM</v>
          </cell>
        </row>
        <row r="377">
          <cell r="A377">
            <v>26</v>
          </cell>
          <cell r="B377" t="str">
            <v>PAT00141</v>
          </cell>
          <cell r="C377" t="str">
            <v>OLUWATOBI OLAJIDE</v>
          </cell>
          <cell r="D377" t="str">
            <v>Financial Planning and Analysis Specialist</v>
          </cell>
          <cell r="E377" t="str">
            <v>Ensure PAT fully abides with financial and non-financial regulations</v>
          </cell>
          <cell r="F377" t="str">
            <v>Ensure PAT fully abides with financial and non-financial regulations</v>
          </cell>
          <cell r="G377">
            <v>0.1</v>
          </cell>
          <cell r="H377">
            <v>0.1</v>
          </cell>
          <cell r="I377" t="str">
            <v>≤April 2025</v>
          </cell>
          <cell r="J377" t="str">
            <v xml:space="preserve">Ensure PAT FY 2024 audited statements are finalized and submitted by April 2025 </v>
          </cell>
          <cell r="L377" t="str">
            <v>OLAREWAJU IBRAHEEM</v>
          </cell>
        </row>
        <row r="378">
          <cell r="A378">
            <v>26</v>
          </cell>
          <cell r="B378" t="str">
            <v>PAT00141</v>
          </cell>
          <cell r="C378" t="str">
            <v>OLUWATOBI OLAJIDE</v>
          </cell>
          <cell r="D378" t="str">
            <v>Financial Planning and Analysis Specialist</v>
          </cell>
          <cell r="E378" t="str">
            <v>Enhance Finance Team Performance, Career Growth, and Retention</v>
          </cell>
          <cell r="F378" t="str">
            <v>Enhance Finance Team Performance, Career Growth, and Retention</v>
          </cell>
          <cell r="G378">
            <v>0.1</v>
          </cell>
          <cell r="H378">
            <v>0.05</v>
          </cell>
          <cell r="J378" t="str">
            <v>Ensure all Finance staff have OKRs set and aligned with business goals by the end of April 2025.</v>
          </cell>
          <cell r="L378" t="str">
            <v>OLAREWAJU IBRAHEEM</v>
          </cell>
        </row>
        <row r="379">
          <cell r="A379">
            <v>26</v>
          </cell>
          <cell r="B379" t="str">
            <v>PAT00141</v>
          </cell>
          <cell r="C379" t="str">
            <v>OLUWATOBI OLAJIDE</v>
          </cell>
          <cell r="D379" t="str">
            <v>Financial Planning and Analysis Specialist</v>
          </cell>
          <cell r="F379" t="str">
            <v>Enhance Finance Team Performance, Career Growth, and Retention</v>
          </cell>
          <cell r="H379">
            <v>0.05</v>
          </cell>
          <cell r="I379" t="str">
            <v>&lt;5%</v>
          </cell>
          <cell r="J379" t="str">
            <v>Implement strategies to retain top Finance talent, ensuring attrition of senior personnel does not exceed 5%.</v>
          </cell>
          <cell r="L379" t="str">
            <v>OLAREWAJU IBRAHEEM</v>
          </cell>
        </row>
        <row r="380">
          <cell r="A380">
            <v>26</v>
          </cell>
          <cell r="B380" t="str">
            <v>PAT00141</v>
          </cell>
          <cell r="C380" t="str">
            <v>OLUWATOBI OLAJIDE</v>
          </cell>
          <cell r="D380" t="str">
            <v>Financial Planning and Analysis Specialist</v>
          </cell>
          <cell r="E380" t="str">
            <v>Prepare annual budget and periodic forecast models along with their assumptions and margin of variance not more than 5%</v>
          </cell>
          <cell r="F380" t="str">
            <v>Prepare annual budget and periodic forecast models along with their assumptions and margin of variance not more than 5%</v>
          </cell>
          <cell r="G380">
            <v>0.2</v>
          </cell>
          <cell r="H380">
            <v>0.2</v>
          </cell>
          <cell r="J380" t="str">
            <v>Prepare annual budget and periodic forecast models along with their assumptions and margin of variance not more than 5%</v>
          </cell>
          <cell r="L380" t="str">
            <v>OLAREWAJU IBRAHEEM</v>
          </cell>
        </row>
        <row r="381">
          <cell r="A381">
            <v>26</v>
          </cell>
          <cell r="B381" t="str">
            <v>PAT00141</v>
          </cell>
          <cell r="C381" t="str">
            <v>OLUWATOBI OLAJIDE</v>
          </cell>
          <cell r="D381" t="str">
            <v>Financial Planning and Analysis Specialist</v>
          </cell>
          <cell r="E381" t="str">
            <v>Manage PPE Schedules - addition is completely captured and depreciation accurately run</v>
          </cell>
          <cell r="F381" t="str">
            <v>Manage PPE Schedules - addition is completely captured and depreciation accurately run</v>
          </cell>
          <cell r="G381">
            <v>0.1</v>
          </cell>
          <cell r="H381">
            <v>0.1</v>
          </cell>
          <cell r="J381" t="str">
            <v>Manage PPE Schedules - addition is completely captured and depreciation accurately run</v>
          </cell>
          <cell r="L381" t="str">
            <v>OLAREWAJU IBRAHEEM</v>
          </cell>
        </row>
        <row r="382">
          <cell r="A382">
            <v>26</v>
          </cell>
          <cell r="B382" t="str">
            <v>PAT00141</v>
          </cell>
          <cell r="C382" t="str">
            <v>OLUWATOBI OLAJIDE</v>
          </cell>
          <cell r="D382" t="str">
            <v>Financial Planning and Analysis Specialist</v>
          </cell>
          <cell r="E382" t="str">
            <v>Manage Prepayment Schedules  - addition is completely captured and amortization accurately charged to P/L</v>
          </cell>
          <cell r="F382" t="str">
            <v>Manage Prepayment Schedules  - addition is completely captured and amortization accurately charged to P/L</v>
          </cell>
          <cell r="G382">
            <v>0.1</v>
          </cell>
          <cell r="H382">
            <v>0.1</v>
          </cell>
          <cell r="J382" t="str">
            <v>Manage Prepayment Schedules  - addition is completely captured and amortization accurately charged to P/L</v>
          </cell>
          <cell r="L382" t="str">
            <v>OLAREWAJU IBRAHEEM</v>
          </cell>
        </row>
        <row r="383">
          <cell r="A383">
            <v>26</v>
          </cell>
          <cell r="B383" t="str">
            <v>PAT00141</v>
          </cell>
          <cell r="C383" t="str">
            <v>OLUWATOBI OLAJIDE</v>
          </cell>
          <cell r="D383" t="str">
            <v>Financial Planning and Analysis Specialist</v>
          </cell>
          <cell r="E383" t="str">
            <v>Support to the management accounting and reporting teams for month end closure and audit related activities</v>
          </cell>
          <cell r="F383" t="str">
            <v>Support to the management accounting and reporting teams for month end closure and audit related activities</v>
          </cell>
          <cell r="G383">
            <v>0.05</v>
          </cell>
          <cell r="H383">
            <v>0.05</v>
          </cell>
          <cell r="J383" t="str">
            <v>Support to the management accounting and reporting teams for month end closure and audit related activities</v>
          </cell>
          <cell r="L383" t="str">
            <v>OLAREWAJU IBRAHEEM</v>
          </cell>
        </row>
        <row r="384">
          <cell r="A384">
            <v>26</v>
          </cell>
          <cell r="B384" t="str">
            <v>PAT00141</v>
          </cell>
          <cell r="C384" t="str">
            <v>OLUWATOBI OLAJIDE</v>
          </cell>
          <cell r="D384" t="str">
            <v>Financial Planning and Analysis Specialist</v>
          </cell>
          <cell r="E384" t="str">
            <v>Supports company's insurance processing and facilitates the process of claim at intervals.</v>
          </cell>
          <cell r="F384" t="str">
            <v>Supports company's insurance processing and facilitates the process of claim at intervals.</v>
          </cell>
          <cell r="G384">
            <v>0.05</v>
          </cell>
          <cell r="H384">
            <v>0.05</v>
          </cell>
          <cell r="J384" t="str">
            <v>Supports company's insurance processing and facilitates the process of claim at intervals.</v>
          </cell>
          <cell r="L384" t="str">
            <v>OLAREWAJU IBRAHEEM</v>
          </cell>
        </row>
        <row r="385">
          <cell r="A385">
            <v>26</v>
          </cell>
          <cell r="B385" t="str">
            <v>PAT00141</v>
          </cell>
          <cell r="C385" t="str">
            <v>OLUWATOBI OLAJIDE</v>
          </cell>
          <cell r="D385" t="str">
            <v>Financial Planning and Analysis Specialist</v>
          </cell>
          <cell r="E385" t="str">
            <v>Supports in developing standard templates, reporting dashboards and related files needed for reporting &amp; communication purposes at intervals</v>
          </cell>
          <cell r="F385" t="str">
            <v>Supports in developing standard templates, reporting dashboards and related files needed for reporting &amp; communication purposes at intervals</v>
          </cell>
          <cell r="G385">
            <v>0.05</v>
          </cell>
          <cell r="H385">
            <v>0.05</v>
          </cell>
          <cell r="J385" t="str">
            <v>Supports in developing standard templates, reporting dashboards and related files needed for reporting &amp; communication purposes at intervals</v>
          </cell>
          <cell r="L385" t="str">
            <v>OLAREWAJU IBRAHEEM</v>
          </cell>
        </row>
        <row r="386">
          <cell r="A386">
            <v>27</v>
          </cell>
          <cell r="B386" t="str">
            <v>PAT00005</v>
          </cell>
          <cell r="C386" t="str">
            <v>ABDULHAKEEM MIFTAUDEEN</v>
          </cell>
          <cell r="D386" t="str">
            <v xml:space="preserve">Senior Finance Manager </v>
          </cell>
          <cell r="E386" t="str">
            <v>Drive revenue and gross profit through contracting and value assurance</v>
          </cell>
          <cell r="F386" t="str">
            <v>Drive revenue and gross profit through contracting and value assurance</v>
          </cell>
          <cell r="G386">
            <v>7.4999999999999997E-2</v>
          </cell>
          <cell r="H386">
            <v>0.05</v>
          </cell>
          <cell r="I386">
            <v>1</v>
          </cell>
          <cell r="J386" t="str">
            <v>Validate 100% of invoices within 3 working days of receipt to ensure billing accuracy, completeness, and compliance with financial standards.</v>
          </cell>
          <cell r="L386" t="str">
            <v>OLAREWAJU IBRAHEEM</v>
          </cell>
        </row>
        <row r="387">
          <cell r="A387">
            <v>27</v>
          </cell>
          <cell r="B387" t="str">
            <v>PAT00005</v>
          </cell>
          <cell r="C387" t="str">
            <v>ABDULHAKEEM MIFTAUDEEN</v>
          </cell>
          <cell r="D387" t="str">
            <v xml:space="preserve">Senior Finance Manager </v>
          </cell>
          <cell r="F387" t="str">
            <v>Drive revenue and gross profit through contracting and value assurance</v>
          </cell>
          <cell r="H387">
            <v>2.5000000000000001E-2</v>
          </cell>
          <cell r="J387" t="str">
            <v>Conduct quarterly revenue assurance audits to detect and recover lost revenue.</v>
          </cell>
          <cell r="L387" t="str">
            <v>OLAREWAJU IBRAHEEM</v>
          </cell>
        </row>
        <row r="388">
          <cell r="A388">
            <v>27</v>
          </cell>
          <cell r="B388" t="str">
            <v>PAT00005</v>
          </cell>
          <cell r="C388" t="str">
            <v>ABDULHAKEEM MIFTAUDEEN</v>
          </cell>
          <cell r="D388" t="str">
            <v xml:space="preserve">Senior Finance Manager </v>
          </cell>
          <cell r="E388" t="str">
            <v>Seek to ensure business has optimal capital structure and a reduced net financing costs</v>
          </cell>
          <cell r="F388" t="str">
            <v>Seek to ensure business has optimal capital structure and a reduced net financing costs</v>
          </cell>
          <cell r="G388">
            <v>0.05</v>
          </cell>
          <cell r="H388">
            <v>2.5000000000000001E-2</v>
          </cell>
          <cell r="I388" t="str">
            <v>RMB/BOI</v>
          </cell>
          <cell r="J388" t="str">
            <v>Conclude RMB loan by Q2 2025 and conclude BOI loan by Q3 2025 to reduce average cost of debt</v>
          </cell>
          <cell r="L388" t="str">
            <v>OLAREWAJU IBRAHEEM</v>
          </cell>
        </row>
        <row r="389">
          <cell r="A389">
            <v>27</v>
          </cell>
          <cell r="B389" t="str">
            <v>PAT00005</v>
          </cell>
          <cell r="C389" t="str">
            <v>ABDULHAKEEM MIFTAUDEEN</v>
          </cell>
          <cell r="D389" t="str">
            <v xml:space="preserve">Senior Finance Manager </v>
          </cell>
          <cell r="F389" t="str">
            <v>Seek to ensure business has optimal capital structure and a reduced net financing costs</v>
          </cell>
          <cell r="H389">
            <v>2.5000000000000001E-2</v>
          </cell>
          <cell r="J389" t="str">
            <v>Continiously seek to optimize capital structure by reducing overall cost of debt and managing cash on hand to generate as much interest income whenever possible</v>
          </cell>
          <cell r="L389" t="str">
            <v>OLAREWAJU IBRAHEEM</v>
          </cell>
        </row>
        <row r="390">
          <cell r="A390">
            <v>27</v>
          </cell>
          <cell r="B390" t="str">
            <v>PAT00005</v>
          </cell>
          <cell r="C390" t="str">
            <v>ABDULHAKEEM MIFTAUDEEN</v>
          </cell>
          <cell r="D390" t="str">
            <v xml:space="preserve">Senior Finance Manager </v>
          </cell>
          <cell r="E390" t="str">
            <v>Seek to reduce cost of sales</v>
          </cell>
          <cell r="F390" t="str">
            <v>Seek to reduce cost of sales</v>
          </cell>
          <cell r="G390">
            <v>0.05</v>
          </cell>
          <cell r="H390">
            <v>2.5000000000000001E-2</v>
          </cell>
          <cell r="J390" t="str">
            <v xml:space="preserve">Work closely with Operations team to ensure no diesel outages to sites </v>
          </cell>
          <cell r="L390" t="str">
            <v>OLAREWAJU IBRAHEEM</v>
          </cell>
        </row>
        <row r="391">
          <cell r="A391">
            <v>27</v>
          </cell>
          <cell r="B391" t="str">
            <v>PAT00005</v>
          </cell>
          <cell r="C391" t="str">
            <v>ABDULHAKEEM MIFTAUDEEN</v>
          </cell>
          <cell r="D391" t="str">
            <v xml:space="preserve">Senior Finance Manager </v>
          </cell>
          <cell r="F391" t="str">
            <v>Seek to reduce cost of sales</v>
          </cell>
          <cell r="H391">
            <v>2.5000000000000001E-2</v>
          </cell>
          <cell r="I391">
            <v>0.85</v>
          </cell>
          <cell r="J391" t="str">
            <v xml:space="preserve"> Achieve high diesel  supplier satisfaction with 85% satisfaction rate
 (measured through surveys and interviews)</v>
          </cell>
          <cell r="L391" t="str">
            <v>OLAREWAJU IBRAHEEM</v>
          </cell>
        </row>
        <row r="392">
          <cell r="A392">
            <v>27</v>
          </cell>
          <cell r="B392" t="str">
            <v>PAT00005</v>
          </cell>
          <cell r="C392" t="str">
            <v>ABDULHAKEEM MIFTAUDEEN</v>
          </cell>
          <cell r="D392" t="str">
            <v xml:space="preserve">Senior Finance Manager </v>
          </cell>
          <cell r="E392" t="str">
            <v>Ensure capex spend in line with company needs</v>
          </cell>
          <cell r="F392" t="str">
            <v>Ensure capex spend in line with company needs</v>
          </cell>
          <cell r="G392">
            <v>0.1</v>
          </cell>
          <cell r="H392">
            <v>0.05</v>
          </cell>
          <cell r="I392">
            <v>1</v>
          </cell>
          <cell r="J392" t="str">
            <v>Ensure 100% alignment of capex spending with approved strategic plans.</v>
          </cell>
          <cell r="L392" t="str">
            <v>OLAREWAJU IBRAHEEM</v>
          </cell>
        </row>
        <row r="393">
          <cell r="A393">
            <v>27</v>
          </cell>
          <cell r="B393" t="str">
            <v>PAT00005</v>
          </cell>
          <cell r="C393" t="str">
            <v>ABDULHAKEEM MIFTAUDEEN</v>
          </cell>
          <cell r="D393" t="str">
            <v xml:space="preserve">Senior Finance Manager </v>
          </cell>
          <cell r="F393" t="str">
            <v>Ensure capex spend in line with company needs</v>
          </cell>
          <cell r="H393">
            <v>0.05</v>
          </cell>
          <cell r="I393" t="str">
            <v>&lt;5%</v>
          </cell>
          <cell r="J393" t="str">
            <v>Reduce unplanned capex variance to less than 5% of the annual budget.</v>
          </cell>
          <cell r="L393" t="str">
            <v>OLAREWAJU IBRAHEEM</v>
          </cell>
        </row>
        <row r="394">
          <cell r="A394">
            <v>27</v>
          </cell>
          <cell r="B394" t="str">
            <v>PAT00005</v>
          </cell>
          <cell r="C394" t="str">
            <v>ABDULHAKEEM MIFTAUDEEN</v>
          </cell>
          <cell r="D394" t="str">
            <v xml:space="preserve">Senior Finance Manager </v>
          </cell>
          <cell r="E394" t="str">
            <v>Ensure IT systems, processes, and initiatives are structured and implemented in line with best practices (within the finance function)</v>
          </cell>
          <cell r="F394" t="str">
            <v>Ensure IT systems, processes, and initiatives are structured and implemented in line with best practices (within the finance function)</v>
          </cell>
          <cell r="G394">
            <v>0.1</v>
          </cell>
          <cell r="H394">
            <v>0.05</v>
          </cell>
          <cell r="I394">
            <v>1</v>
          </cell>
          <cell r="J394" t="str">
            <v>Complete 100% implementation of approved IT financial controls.</v>
          </cell>
          <cell r="L394" t="str">
            <v>OLAREWAJU IBRAHEEM</v>
          </cell>
        </row>
        <row r="395">
          <cell r="A395">
            <v>27</v>
          </cell>
          <cell r="B395" t="str">
            <v>PAT00005</v>
          </cell>
          <cell r="C395" t="str">
            <v>ABDULHAKEEM MIFTAUDEEN</v>
          </cell>
          <cell r="D395" t="str">
            <v xml:space="preserve">Senior Finance Manager </v>
          </cell>
          <cell r="F395" t="str">
            <v>Ensure IT systems, processes, and initiatives are structured and implemented in line with best practices (within the finance function)</v>
          </cell>
          <cell r="H395">
            <v>0.05</v>
          </cell>
          <cell r="I395">
            <v>0.3</v>
          </cell>
          <cell r="J395" t="str">
            <v>Implement IT automation to improve financial reporting efficiency by 30%.</v>
          </cell>
          <cell r="L395" t="str">
            <v>OLAREWAJU IBRAHEEM</v>
          </cell>
        </row>
        <row r="396">
          <cell r="A396">
            <v>27</v>
          </cell>
          <cell r="B396" t="str">
            <v>PAT00005</v>
          </cell>
          <cell r="C396" t="str">
            <v>ABDULHAKEEM MIFTAUDEEN</v>
          </cell>
          <cell r="D396" t="str">
            <v xml:space="preserve">Senior Finance Manager </v>
          </cell>
          <cell r="E396" t="str">
            <v>Ensure smooth integration of PAT and ENL teams</v>
          </cell>
          <cell r="F396" t="str">
            <v>Ensure smooth integration of PAT and ENL teams</v>
          </cell>
          <cell r="G396">
            <v>0.05</v>
          </cell>
          <cell r="H396">
            <v>0.05</v>
          </cell>
          <cell r="I396">
            <v>1</v>
          </cell>
          <cell r="J396" t="str">
            <v>Complete ENL  post merger integration plan with plan to execute following PAT acquires 100% of ENL
Take control of ENL supervision across Finance. Budget, payment approval and financial control</v>
          </cell>
          <cell r="L396" t="str">
            <v>OLAREWAJU IBRAHEEM</v>
          </cell>
        </row>
        <row r="397">
          <cell r="A397">
            <v>27</v>
          </cell>
          <cell r="B397" t="str">
            <v>PAT00005</v>
          </cell>
          <cell r="C397" t="str">
            <v>ABDULHAKEEM MIFTAUDEEN</v>
          </cell>
          <cell r="D397" t="str">
            <v xml:space="preserve">Senior Finance Manager </v>
          </cell>
          <cell r="E397" t="str">
            <v>Ensure PAT fully abides with financial and non-financial regulations</v>
          </cell>
          <cell r="F397" t="str">
            <v>Ensure PAT fully abides with financial and non-financial regulations</v>
          </cell>
          <cell r="G397">
            <v>0.25</v>
          </cell>
          <cell r="H397">
            <v>0.1</v>
          </cell>
          <cell r="I397" t="str">
            <v>≤April 2025</v>
          </cell>
          <cell r="J397" t="str">
            <v xml:space="preserve">Ensure PAT FY 2024 audited statements are finalized and submitted by April 2025 </v>
          </cell>
          <cell r="L397" t="str">
            <v>OLAREWAJU IBRAHEEM</v>
          </cell>
        </row>
        <row r="398">
          <cell r="A398">
            <v>27</v>
          </cell>
          <cell r="B398" t="str">
            <v>PAT00005</v>
          </cell>
          <cell r="C398" t="str">
            <v>ABDULHAKEEM MIFTAUDEEN</v>
          </cell>
          <cell r="D398" t="str">
            <v xml:space="preserve">Senior Finance Manager </v>
          </cell>
          <cell r="F398" t="str">
            <v>Ensure PAT fully abides with financial and non-financial regulations</v>
          </cell>
          <cell r="H398">
            <v>0.05</v>
          </cell>
          <cell r="J398" t="str">
            <v>Ensure all gaps in company controls are mitigated (through running a full assessment of the company's controls' effectiveness and implementing recommendations)</v>
          </cell>
          <cell r="L398" t="str">
            <v>OLAREWAJU IBRAHEEM</v>
          </cell>
        </row>
        <row r="399">
          <cell r="A399">
            <v>27</v>
          </cell>
          <cell r="B399" t="str">
            <v>PAT00005</v>
          </cell>
          <cell r="C399" t="str">
            <v>ABDULHAKEEM MIFTAUDEEN</v>
          </cell>
          <cell r="D399" t="str">
            <v xml:space="preserve">Senior Finance Manager </v>
          </cell>
          <cell r="F399" t="str">
            <v>Ensure PAT fully abides with financial and non-financial regulations</v>
          </cell>
          <cell r="H399">
            <v>0.05</v>
          </cell>
          <cell r="J399" t="str">
            <v xml:space="preserve">Ensure that the monthly remittance of VAT, consumption taxes and WHT are done by the last day of the new month to avoid penalties for the business. </v>
          </cell>
          <cell r="L399" t="str">
            <v>OLAREWAJU IBRAHEEM</v>
          </cell>
        </row>
        <row r="400">
          <cell r="A400">
            <v>27</v>
          </cell>
          <cell r="B400" t="str">
            <v>PAT00005</v>
          </cell>
          <cell r="C400" t="str">
            <v>ABDULHAKEEM MIFTAUDEEN</v>
          </cell>
          <cell r="D400" t="str">
            <v xml:space="preserve">Senior Finance Manager </v>
          </cell>
          <cell r="F400" t="str">
            <v>Ensure PAT fully abides with financial and non-financial regulations</v>
          </cell>
          <cell r="H400">
            <v>0.05</v>
          </cell>
          <cell r="I400">
            <v>1</v>
          </cell>
          <cell r="J400" t="str">
            <v>Maintain 100% regulatory compliance with all financial and statutory requirements.</v>
          </cell>
          <cell r="L400" t="str">
            <v>OLAREWAJU IBRAHEEM</v>
          </cell>
        </row>
        <row r="401">
          <cell r="A401">
            <v>27</v>
          </cell>
          <cell r="B401" t="str">
            <v>PAT00005</v>
          </cell>
          <cell r="C401" t="str">
            <v>ABDULHAKEEM MIFTAUDEEN</v>
          </cell>
          <cell r="D401" t="str">
            <v xml:space="preserve">Senior Finance Manager </v>
          </cell>
          <cell r="E401" t="str">
            <v>Enhance Finance Team Performance, Career Growth, and Retention</v>
          </cell>
          <cell r="F401" t="str">
            <v>Enhance Finance Team Performance, Career Growth, and Retention</v>
          </cell>
          <cell r="G401">
            <v>0.05</v>
          </cell>
          <cell r="H401">
            <v>2.5000000000000001E-2</v>
          </cell>
          <cell r="J401" t="str">
            <v>Ensure all Finance staff have OKRs set and aligned with business goals by the end of April 2025.</v>
          </cell>
          <cell r="L401" t="str">
            <v>OLAREWAJU IBRAHEEM</v>
          </cell>
        </row>
        <row r="402">
          <cell r="A402">
            <v>27</v>
          </cell>
          <cell r="B402" t="str">
            <v>PAT00005</v>
          </cell>
          <cell r="C402" t="str">
            <v>ABDULHAKEEM MIFTAUDEEN</v>
          </cell>
          <cell r="D402" t="str">
            <v xml:space="preserve">Senior Finance Manager </v>
          </cell>
          <cell r="F402" t="str">
            <v>Enhance Finance Team Performance, Career Growth, and Retention</v>
          </cell>
          <cell r="H402">
            <v>2.5000000000000001E-2</v>
          </cell>
          <cell r="I402" t="str">
            <v>&lt;5%</v>
          </cell>
          <cell r="J402" t="str">
            <v>Implement strategies to retain top Finance talent, ensuring attrition of senior personnel does not exceed 5%.</v>
          </cell>
          <cell r="L402" t="str">
            <v>OLAREWAJU IBRAHEEM</v>
          </cell>
        </row>
        <row r="403">
          <cell r="A403">
            <v>27</v>
          </cell>
          <cell r="B403" t="str">
            <v>PAT00005</v>
          </cell>
          <cell r="C403" t="str">
            <v>ABDULHAKEEM MIFTAUDEEN</v>
          </cell>
          <cell r="D403" t="str">
            <v xml:space="preserve">Senior Finance Manager </v>
          </cell>
          <cell r="E403" t="str">
            <v>Achieve submission of the management report within the first 7 working from end of the previous month 95% of the time</v>
          </cell>
          <cell r="F403" t="str">
            <v>Achieve submission of the management report within the first 7 working from end of the previous month 95% of the time</v>
          </cell>
          <cell r="G403">
            <v>0.15</v>
          </cell>
          <cell r="H403">
            <v>0.15</v>
          </cell>
          <cell r="J403" t="str">
            <v>Achieve submission of the management report within the first 7 working from end of the previous month 95% of the time</v>
          </cell>
          <cell r="L403" t="str">
            <v>OLAREWAJU IBRAHEEM</v>
          </cell>
        </row>
        <row r="404">
          <cell r="A404">
            <v>27</v>
          </cell>
          <cell r="B404" t="str">
            <v>PAT00005</v>
          </cell>
          <cell r="C404" t="str">
            <v>ABDULHAKEEM MIFTAUDEEN</v>
          </cell>
          <cell r="D404" t="str">
            <v xml:space="preserve">Senior Finance Manager </v>
          </cell>
          <cell r="E404" t="str">
            <v>Achieve 100% review and posting of revenue into the ERP system before the 4th day of the following month. Also ensure proper customer recon quarterly</v>
          </cell>
          <cell r="F404" t="str">
            <v>Achieve 100% review and posting of revenue into the ERP system before the 4th day of the following month. Also ensure proper customer recon quarterly</v>
          </cell>
          <cell r="G404">
            <v>2.5000000000000001E-2</v>
          </cell>
          <cell r="H404">
            <v>2.5000000000000001E-2</v>
          </cell>
          <cell r="J404" t="str">
            <v>Achieve 100% review and posting of revenue into the ERP system before the 4th day of the following month. Also ensure proper customer recon quarterly</v>
          </cell>
          <cell r="L404" t="str">
            <v>OLAREWAJU IBRAHEEM</v>
          </cell>
        </row>
        <row r="405">
          <cell r="A405">
            <v>27</v>
          </cell>
          <cell r="B405" t="str">
            <v>PAT00005</v>
          </cell>
          <cell r="C405" t="str">
            <v>ABDULHAKEEM MIFTAUDEEN</v>
          </cell>
          <cell r="D405" t="str">
            <v xml:space="preserve">Senior Finance Manager </v>
          </cell>
          <cell r="E405" t="str">
            <v>Achieve quarterly review of vendor and client balances in the books and monthly check on the reconciled ledger balances and no abnormal items is found in the vendor and customer's card</v>
          </cell>
          <cell r="F405" t="str">
            <v>Achieve quarterly review of vendor and client balances in the books and monthly check on the reconciled ledger balances and no abnormal items is found in the vendor and customer's card</v>
          </cell>
          <cell r="G405">
            <v>2.5000000000000001E-2</v>
          </cell>
          <cell r="H405">
            <v>2.5000000000000001E-2</v>
          </cell>
          <cell r="J405" t="str">
            <v>Achieve quarterly review of vendor and client balances in the books and monthly check on the reconciled ledger balances and no abnormal items is found in the vendor and customer's card</v>
          </cell>
          <cell r="L405" t="str">
            <v>OLAREWAJU IBRAHEEM</v>
          </cell>
        </row>
        <row r="406">
          <cell r="A406">
            <v>27</v>
          </cell>
          <cell r="B406" t="str">
            <v>PAT00005</v>
          </cell>
          <cell r="C406" t="str">
            <v>ABDULHAKEEM MIFTAUDEEN</v>
          </cell>
          <cell r="D406" t="str">
            <v xml:space="preserve">Senior Finance Manager </v>
          </cell>
          <cell r="E406" t="str">
            <v>Ledger Reconciliation - ledger recon is done to ensure accuracy on or before 4th day of every month and no abnormal items is found in the monthly TB review</v>
          </cell>
          <cell r="F406" t="str">
            <v>Ledger Reconciliation - ledger recon is done to ensure accuracy on or before 4th day of every month and no abnormal items is found in the monthly TB review</v>
          </cell>
          <cell r="G406">
            <v>2.5000000000000001E-2</v>
          </cell>
          <cell r="H406">
            <v>2.5000000000000001E-2</v>
          </cell>
          <cell r="J406" t="str">
            <v>Ledger Reconciliation - ledger recon is done to ensure accuracy on or before 4th day of every month and no abnormal items is found in the monthly TB review</v>
          </cell>
          <cell r="L406" t="str">
            <v>OLAREWAJU IBRAHEEM</v>
          </cell>
        </row>
        <row r="407">
          <cell r="A407">
            <v>27</v>
          </cell>
          <cell r="B407" t="str">
            <v>PAT00005</v>
          </cell>
          <cell r="C407" t="str">
            <v>ABDULHAKEEM MIFTAUDEEN</v>
          </cell>
          <cell r="D407" t="str">
            <v xml:space="preserve">Senior Finance Manager </v>
          </cell>
          <cell r="E407" t="str">
            <v>Achieve 100% updated and accurate asset register and recognition of depreciation are done before the 4th day of the following month</v>
          </cell>
          <cell r="F407" t="str">
            <v>Achieve 100% updated and accurate asset register and recognition of depreciation are done before the 4th day of the following month</v>
          </cell>
          <cell r="G407">
            <v>0.05</v>
          </cell>
          <cell r="H407">
            <v>0.05</v>
          </cell>
          <cell r="J407" t="str">
            <v>Achieve 100% updated and accurate asset register and recognition of depreciation are done before the 4th day of the following month</v>
          </cell>
          <cell r="L407" t="str">
            <v>OLAREWAJU IBRAHEEM</v>
          </cell>
        </row>
        <row r="408">
          <cell r="A408">
            <v>28</v>
          </cell>
          <cell r="B408" t="str">
            <v>PAT00050</v>
          </cell>
          <cell r="C408" t="str">
            <v>SOLOMON ALO</v>
          </cell>
          <cell r="D408" t="str">
            <v xml:space="preserve">Treasury Specialist </v>
          </cell>
          <cell r="E408" t="str">
            <v>Drive revenue and gross profit through contracting and value assurance</v>
          </cell>
          <cell r="F408" t="str">
            <v>Drive revenue and gross profit through contracting and value assurance</v>
          </cell>
          <cell r="G408">
            <v>0.15</v>
          </cell>
          <cell r="H408">
            <v>0.15</v>
          </cell>
          <cell r="I408">
            <v>1</v>
          </cell>
          <cell r="J408" t="str">
            <v>Ensure fund disbursement within 24hrs of management approval - for the procurement, deployment, and installation of batteries across 150 targeted sites and diesel generators in line with budget</v>
          </cell>
          <cell r="L408" t="str">
            <v>OLAREWAJU IBRAHEEM</v>
          </cell>
        </row>
        <row r="409">
          <cell r="A409">
            <v>28</v>
          </cell>
          <cell r="B409" t="str">
            <v>PAT00050</v>
          </cell>
          <cell r="C409" t="str">
            <v>SOLOMON ALO</v>
          </cell>
          <cell r="D409" t="str">
            <v xml:space="preserve">Treasury Specialist </v>
          </cell>
          <cell r="E409" t="str">
            <v>Seek to ensure business has optimal capital structure and a reduced net financing costs</v>
          </cell>
          <cell r="F409" t="str">
            <v>Seek to ensure business has optimal capital structure and a reduced net financing costs</v>
          </cell>
          <cell r="G409">
            <v>0.1</v>
          </cell>
          <cell r="H409">
            <v>0.1</v>
          </cell>
          <cell r="J409" t="str">
            <v>Substantially reduce use of high cost overdraft facilities to reduce overall net financing costs</v>
          </cell>
          <cell r="L409" t="str">
            <v>OLAREWAJU IBRAHEEM</v>
          </cell>
        </row>
        <row r="410">
          <cell r="A410">
            <v>28</v>
          </cell>
          <cell r="B410" t="str">
            <v>PAT00050</v>
          </cell>
          <cell r="C410" t="str">
            <v>SOLOMON ALO</v>
          </cell>
          <cell r="D410" t="str">
            <v xml:space="preserve">Treasury Specialist </v>
          </cell>
          <cell r="E410" t="str">
            <v>Ensure PAT fully abides with financial and non-financial regulations</v>
          </cell>
          <cell r="F410" t="str">
            <v>Ensure PAT fully abides with financial and non-financial regulations</v>
          </cell>
          <cell r="G410">
            <v>0.1</v>
          </cell>
          <cell r="H410">
            <v>0.1</v>
          </cell>
          <cell r="I410" t="str">
            <v>≤April 2025</v>
          </cell>
          <cell r="J410" t="str">
            <v xml:space="preserve">Ensure PAT FY 2024 audited statements are finalized and submitted by April 2025 </v>
          </cell>
          <cell r="L410" t="str">
            <v>OLAREWAJU IBRAHEEM</v>
          </cell>
        </row>
        <row r="411">
          <cell r="A411">
            <v>28</v>
          </cell>
          <cell r="B411" t="str">
            <v>PAT00050</v>
          </cell>
          <cell r="C411" t="str">
            <v>SOLOMON ALO</v>
          </cell>
          <cell r="D411" t="str">
            <v xml:space="preserve">Treasury Specialist </v>
          </cell>
          <cell r="E411" t="str">
            <v>Ensure PAT fully abides with financial and non-financial regulations</v>
          </cell>
          <cell r="F411" t="str">
            <v>Ensure PAT fully abides with financial and non-financial regulations</v>
          </cell>
          <cell r="G411">
            <v>0.1</v>
          </cell>
          <cell r="H411">
            <v>0.05</v>
          </cell>
          <cell r="J411" t="str">
            <v>Ensure single action payments and not lumped payments are made to staff and contractors to avoid ambiguity and promote transparency</v>
          </cell>
          <cell r="L411" t="str">
            <v>OLAREWAJU IBRAHEEM</v>
          </cell>
        </row>
        <row r="412">
          <cell r="A412">
            <v>28</v>
          </cell>
          <cell r="B412" t="str">
            <v>PAT00050</v>
          </cell>
          <cell r="C412" t="str">
            <v>SOLOMON ALO</v>
          </cell>
          <cell r="D412" t="str">
            <v xml:space="preserve">Treasury Specialist </v>
          </cell>
          <cell r="F412" t="str">
            <v>Ensure PAT fully abides with financial and non-financial regulations</v>
          </cell>
          <cell r="H412">
            <v>0.05</v>
          </cell>
          <cell r="J412" t="str">
            <v xml:space="preserve">Ensure that the monthly remittance of VAT, consumption taxes and WHT are done by the last day of the new month to avoid penalties for the business. </v>
          </cell>
          <cell r="L412" t="str">
            <v>OLAREWAJU IBRAHEEM</v>
          </cell>
        </row>
        <row r="413">
          <cell r="A413">
            <v>28</v>
          </cell>
          <cell r="B413" t="str">
            <v>PAT00050</v>
          </cell>
          <cell r="C413" t="str">
            <v>SOLOMON ALO</v>
          </cell>
          <cell r="D413" t="str">
            <v xml:space="preserve">Treasury Specialist </v>
          </cell>
          <cell r="E413" t="str">
            <v>Enhance Finance Team Performance, Career Growth, and Retention</v>
          </cell>
          <cell r="F413" t="str">
            <v>Enhance Finance Team Performance, Career Growth, and Retention</v>
          </cell>
          <cell r="G413">
            <v>0.05</v>
          </cell>
          <cell r="H413">
            <v>2.5000000000000001E-2</v>
          </cell>
          <cell r="J413" t="str">
            <v>Ensure all Finance staff have OKRs set and aligned with business goals by the end of April 2025.</v>
          </cell>
          <cell r="L413" t="str">
            <v>OLAREWAJU IBRAHEEM</v>
          </cell>
        </row>
        <row r="414">
          <cell r="A414">
            <v>28</v>
          </cell>
          <cell r="B414" t="str">
            <v>PAT00050</v>
          </cell>
          <cell r="C414" t="str">
            <v>SOLOMON ALO</v>
          </cell>
          <cell r="D414" t="str">
            <v xml:space="preserve">Treasury Specialist </v>
          </cell>
          <cell r="F414" t="str">
            <v>Enhance Finance Team Performance, Career Growth, and Retention</v>
          </cell>
          <cell r="H414">
            <v>2.5000000000000001E-2</v>
          </cell>
          <cell r="I414" t="str">
            <v>&lt;5%</v>
          </cell>
          <cell r="J414" t="str">
            <v>Implement strategies to retain top Finance talent, ensuring attrition of senior personnel does not exceed 5%.</v>
          </cell>
          <cell r="L414" t="str">
            <v>OLAREWAJU IBRAHEEM</v>
          </cell>
        </row>
        <row r="415">
          <cell r="A415">
            <v>28</v>
          </cell>
          <cell r="B415" t="str">
            <v>PAT00050</v>
          </cell>
          <cell r="C415" t="str">
            <v>SOLOMON ALO</v>
          </cell>
          <cell r="D415" t="str">
            <v xml:space="preserve">Treasury Specialist </v>
          </cell>
          <cell r="E415" t="str">
            <v>Cash Management And Forecasting - achieve 100% of daily monitoring of cash balances of all company's accounts to achieve a strong liquidity position.</v>
          </cell>
          <cell r="F415" t="str">
            <v>Cash Management And Forecasting - achieve 100% of daily monitoring of cash balances of all company's accounts to achieve a strong liquidity position.</v>
          </cell>
          <cell r="G415">
            <v>0.15</v>
          </cell>
          <cell r="H415">
            <v>0.15</v>
          </cell>
          <cell r="J415" t="str">
            <v>Cash Management And Forecasting - achieve 100% of daily monitoring of cash balances of all company's accounts to achieve a strong liquidity position.</v>
          </cell>
          <cell r="L415" t="str">
            <v>OLAREWAJU IBRAHEEM</v>
          </cell>
        </row>
        <row r="416">
          <cell r="A416">
            <v>28</v>
          </cell>
          <cell r="B416" t="str">
            <v>PAT00050</v>
          </cell>
          <cell r="C416" t="str">
            <v>SOLOMON ALO</v>
          </cell>
          <cell r="D416" t="str">
            <v xml:space="preserve">Treasury Specialist </v>
          </cell>
          <cell r="E416" t="str">
            <v>Banking Relationship Management - achieve great banking relationships to achieve resolutions on all bank matters within 24hrs to 48hrs.</v>
          </cell>
          <cell r="F416" t="str">
            <v>Banking Relationship Management - achieve great banking relationships to achieve resolutions on all bank matters within 24hrs to 48hrs.</v>
          </cell>
          <cell r="G416">
            <v>0.1</v>
          </cell>
          <cell r="H416">
            <v>0.1</v>
          </cell>
          <cell r="J416" t="str">
            <v>Banking Relationship Management - achieve great banking relationships to achieve resolutions on all bank matters within 24hrs to 48hrs.</v>
          </cell>
          <cell r="L416" t="str">
            <v>OLAREWAJU IBRAHEEM</v>
          </cell>
        </row>
        <row r="417">
          <cell r="A417">
            <v>28</v>
          </cell>
          <cell r="B417" t="str">
            <v>PAT00050</v>
          </cell>
          <cell r="C417" t="str">
            <v>SOLOMON ALO</v>
          </cell>
          <cell r="D417" t="str">
            <v xml:space="preserve">Treasury Specialist </v>
          </cell>
          <cell r="E417" t="str">
            <v>Payment Efficiency - achieve 100% error free in all payments upload &amp; transfer instructions, and no duplicates in payment.</v>
          </cell>
          <cell r="F417" t="str">
            <v>Payment Efficiency - achieve 100% error free in all payments upload &amp; transfer instructions, and no duplicates in payment.</v>
          </cell>
          <cell r="G417">
            <v>0.15</v>
          </cell>
          <cell r="H417">
            <v>0.15</v>
          </cell>
          <cell r="J417" t="str">
            <v>Payment Efficiency - achieve 100% error free in all payments upload &amp; transfer instructions, and no duplicates in payment.</v>
          </cell>
          <cell r="L417" t="str">
            <v>OLAREWAJU IBRAHEEM</v>
          </cell>
        </row>
        <row r="418">
          <cell r="A418">
            <v>28</v>
          </cell>
          <cell r="B418" t="str">
            <v>PAT00050</v>
          </cell>
          <cell r="C418" t="str">
            <v>SOLOMON ALO</v>
          </cell>
          <cell r="D418" t="str">
            <v xml:space="preserve">Treasury Specialist </v>
          </cell>
          <cell r="E418" t="str">
            <v>Bank Reconciliation - achieve 100% bank reconciliations of all PAT bank accounts on 5th day of new month.</v>
          </cell>
          <cell r="F418" t="str">
            <v>Bank Reconciliation - achieve 100% bank reconciliations of all PAT bank accounts on 5th day of new month.</v>
          </cell>
          <cell r="G418">
            <v>0.1</v>
          </cell>
          <cell r="H418">
            <v>0.1</v>
          </cell>
          <cell r="J418" t="str">
            <v>Bank Reconciliation - achieve 100% bank reconciliations of all PAT bank accounts on 5th day of new month.</v>
          </cell>
          <cell r="L418" t="str">
            <v>OLAREWAJU IBRAHEEM</v>
          </cell>
        </row>
        <row r="419">
          <cell r="A419">
            <v>29</v>
          </cell>
          <cell r="B419" t="str">
            <v>PAT00139</v>
          </cell>
          <cell r="C419" t="str">
            <v>AFEEZ ADEBIMPE</v>
          </cell>
          <cell r="D419" t="str">
            <v>Senior Financial Reporting Manager</v>
          </cell>
          <cell r="E419" t="str">
            <v>Seek to ensure business has optimal capital structure and a reduced net financing costs</v>
          </cell>
          <cell r="F419" t="str">
            <v>Seek to ensure business has optimal capital structure and a reduced net financing costs</v>
          </cell>
          <cell r="G419">
            <v>0.05</v>
          </cell>
          <cell r="H419">
            <v>2.5000000000000001E-2</v>
          </cell>
          <cell r="I419" t="str">
            <v>RMB/BOI</v>
          </cell>
          <cell r="J419" t="str">
            <v>Conclude RMB loan by Q2 2025 and conclude BOI loan by Q3 2025 to reduce average cost of debt</v>
          </cell>
          <cell r="L419" t="str">
            <v>OLAREWAJU IBRAHEEM</v>
          </cell>
        </row>
        <row r="420">
          <cell r="A420">
            <v>29</v>
          </cell>
          <cell r="B420" t="str">
            <v>PAT00139</v>
          </cell>
          <cell r="C420" t="str">
            <v>AFEEZ ADEBIMPE</v>
          </cell>
          <cell r="D420" t="str">
            <v>Senior Financial Reporting Manager</v>
          </cell>
          <cell r="F420" t="str">
            <v>Seek to ensure business has optimal capital structure and a reduced net financing costs</v>
          </cell>
          <cell r="H420">
            <v>2.5000000000000001E-2</v>
          </cell>
          <cell r="J420" t="str">
            <v>Continiously seek to optimize capital structure by reducing overall cost of debt and managing cash on hand to generate as much interest income whenever possible</v>
          </cell>
          <cell r="L420" t="str">
            <v>OLAREWAJU IBRAHEEM</v>
          </cell>
        </row>
        <row r="421">
          <cell r="A421">
            <v>29</v>
          </cell>
          <cell r="B421" t="str">
            <v>PAT00139</v>
          </cell>
          <cell r="C421" t="str">
            <v>AFEEZ ADEBIMPE</v>
          </cell>
          <cell r="D421" t="str">
            <v>Senior Financial Reporting Manager</v>
          </cell>
          <cell r="E421" t="str">
            <v>Ensure IT systems, processes, and initiatives are structured and implemented in line with best practices (within the finance function)</v>
          </cell>
          <cell r="F421" t="str">
            <v>Ensure IT systems, processes, and initiatives are structured and implemented in line with best practices (within the finance function)</v>
          </cell>
          <cell r="G421">
            <v>0.1</v>
          </cell>
          <cell r="H421">
            <v>0.05</v>
          </cell>
          <cell r="I421">
            <v>1</v>
          </cell>
          <cell r="J421" t="str">
            <v>Complete 100% implementation of approved IT financial controls.</v>
          </cell>
          <cell r="L421" t="str">
            <v>OLAREWAJU IBRAHEEM</v>
          </cell>
        </row>
        <row r="422">
          <cell r="A422">
            <v>29</v>
          </cell>
          <cell r="B422" t="str">
            <v>PAT00139</v>
          </cell>
          <cell r="C422" t="str">
            <v>AFEEZ ADEBIMPE</v>
          </cell>
          <cell r="D422" t="str">
            <v>Senior Financial Reporting Manager</v>
          </cell>
          <cell r="F422" t="str">
            <v>Ensure IT systems, processes, and initiatives are structured and implemented in line with best practices (within the finance function)</v>
          </cell>
          <cell r="H422">
            <v>0.05</v>
          </cell>
          <cell r="I422">
            <v>0.3</v>
          </cell>
          <cell r="J422" t="str">
            <v>Implement IT automation to improve financial reporting efficiency by 30%.</v>
          </cell>
          <cell r="L422" t="str">
            <v>OLAREWAJU IBRAHEEM</v>
          </cell>
        </row>
        <row r="423">
          <cell r="A423">
            <v>29</v>
          </cell>
          <cell r="B423" t="str">
            <v>PAT00139</v>
          </cell>
          <cell r="C423" t="str">
            <v>AFEEZ ADEBIMPE</v>
          </cell>
          <cell r="D423" t="str">
            <v>Senior Financial Reporting Manager</v>
          </cell>
          <cell r="E423" t="str">
            <v>Ensure smooth integration of PAT and ENL teams</v>
          </cell>
          <cell r="F423" t="str">
            <v>Ensure smooth integration of PAT and ENL teams</v>
          </cell>
          <cell r="G423">
            <v>2.5000000000000001E-2</v>
          </cell>
          <cell r="H423">
            <v>2.5000000000000001E-2</v>
          </cell>
          <cell r="I423">
            <v>1</v>
          </cell>
          <cell r="J423" t="str">
            <v>Complete ENL  post merger integration plan with plan to execute following PAT acquires 100% of ENL
Take control of ENL supervision across Finance. Budget, payment approval and financial control</v>
          </cell>
          <cell r="L423" t="str">
            <v>OLAREWAJU IBRAHEEM</v>
          </cell>
        </row>
        <row r="424">
          <cell r="A424">
            <v>29</v>
          </cell>
          <cell r="B424" t="str">
            <v>PAT00139</v>
          </cell>
          <cell r="C424" t="str">
            <v>AFEEZ ADEBIMPE</v>
          </cell>
          <cell r="D424" t="str">
            <v>Senior Financial Reporting Manager</v>
          </cell>
          <cell r="E424" t="str">
            <v>Ensure PAT fully abides with financial and non-financial regulations</v>
          </cell>
          <cell r="F424" t="str">
            <v>Ensure PAT fully abides with financial and non-financial regulations</v>
          </cell>
          <cell r="G424">
            <v>0.35</v>
          </cell>
          <cell r="H424">
            <v>0.2</v>
          </cell>
          <cell r="I424" t="str">
            <v>≤April 2025</v>
          </cell>
          <cell r="J424" t="str">
            <v xml:space="preserve">Ensure PAT FY 2024 audited statements are finalized and submitted by April 2025 </v>
          </cell>
          <cell r="L424" t="str">
            <v>OLAREWAJU IBRAHEEM</v>
          </cell>
        </row>
        <row r="425">
          <cell r="A425">
            <v>29</v>
          </cell>
          <cell r="B425" t="str">
            <v>PAT00139</v>
          </cell>
          <cell r="C425" t="str">
            <v>AFEEZ ADEBIMPE</v>
          </cell>
          <cell r="D425" t="str">
            <v>Senior Financial Reporting Manager</v>
          </cell>
          <cell r="F425" t="str">
            <v>Ensure PAT fully abides with financial and non-financial regulations</v>
          </cell>
          <cell r="H425">
            <v>0.1</v>
          </cell>
          <cell r="J425" t="str">
            <v>Ensure all gaps in company controls are mitigated (through running a full assessment of the company's controls' effectiveness and implementing recommendations)</v>
          </cell>
          <cell r="L425" t="str">
            <v>OLAREWAJU IBRAHEEM</v>
          </cell>
        </row>
        <row r="426">
          <cell r="A426">
            <v>29</v>
          </cell>
          <cell r="B426" t="str">
            <v>PAT00139</v>
          </cell>
          <cell r="C426" t="str">
            <v>AFEEZ ADEBIMPE</v>
          </cell>
          <cell r="D426" t="str">
            <v>Senior Financial Reporting Manager</v>
          </cell>
          <cell r="F426" t="str">
            <v>Ensure PAT fully abides with financial and non-financial regulations</v>
          </cell>
          <cell r="H426">
            <v>0.05</v>
          </cell>
          <cell r="I426">
            <v>1</v>
          </cell>
          <cell r="J426" t="str">
            <v>Maintain 100% regulatory compliance with all financial and statutory requirements.</v>
          </cell>
          <cell r="L426" t="str">
            <v>OLAREWAJU IBRAHEEM</v>
          </cell>
        </row>
        <row r="427">
          <cell r="A427">
            <v>29</v>
          </cell>
          <cell r="B427" t="str">
            <v>PAT00139</v>
          </cell>
          <cell r="C427" t="str">
            <v>AFEEZ ADEBIMPE</v>
          </cell>
          <cell r="D427" t="str">
            <v>Senior Financial Reporting Manager</v>
          </cell>
          <cell r="E427" t="str">
            <v>Enhance Finance Team Performance, Career Growth, and Retention</v>
          </cell>
          <cell r="F427" t="str">
            <v>Enhance Finance Team Performance, Career Growth, and Retention</v>
          </cell>
          <cell r="G427">
            <v>0.05</v>
          </cell>
          <cell r="H427">
            <v>2.5000000000000001E-2</v>
          </cell>
          <cell r="J427" t="str">
            <v>Ensure all Finance staff have OKRs set and aligned with business goals by the end of April 2025.</v>
          </cell>
          <cell r="L427" t="str">
            <v>OLAREWAJU IBRAHEEM</v>
          </cell>
        </row>
        <row r="428">
          <cell r="A428">
            <v>29</v>
          </cell>
          <cell r="B428" t="str">
            <v>PAT00139</v>
          </cell>
          <cell r="C428" t="str">
            <v>AFEEZ ADEBIMPE</v>
          </cell>
          <cell r="D428" t="str">
            <v>Senior Financial Reporting Manager</v>
          </cell>
          <cell r="F428" t="str">
            <v>Enhance Finance Team Performance, Career Growth, and Retention</v>
          </cell>
          <cell r="H428">
            <v>2.5000000000000001E-2</v>
          </cell>
          <cell r="I428" t="str">
            <v>&lt;5%</v>
          </cell>
          <cell r="J428" t="str">
            <v>Implement strategies to retain top Finance talent, ensuring attrition of senior personnel does not exceed 5%.</v>
          </cell>
          <cell r="L428" t="str">
            <v>OLAREWAJU IBRAHEEM</v>
          </cell>
        </row>
        <row r="429">
          <cell r="A429">
            <v>29</v>
          </cell>
          <cell r="B429" t="str">
            <v>PAT00139</v>
          </cell>
          <cell r="C429" t="str">
            <v>AFEEZ ADEBIMPE</v>
          </cell>
          <cell r="D429" t="str">
            <v>Senior Financial Reporting Manager</v>
          </cell>
          <cell r="E429" t="str">
            <v>Prepare, review, and analyze financial statements in compliance with accounting standards and regulatory requirements - deliver MA within the first 7 working from end of the previous month 95% of the time</v>
          </cell>
          <cell r="F429" t="str">
            <v>Prepare, review, and analyze financial statements in compliance with accounting standards and regulatory requirements - deliver MA within the first 7 working from end of the previous month 95% of the time</v>
          </cell>
          <cell r="G429">
            <v>0.1</v>
          </cell>
          <cell r="H429">
            <v>0.1</v>
          </cell>
          <cell r="J429" t="str">
            <v>Prepare, review, and analyze financial statements in compliance with accounting standards and regulatory requirements - deliver MA within the first 7 working from end of the previous month 95% of the time</v>
          </cell>
          <cell r="L429" t="str">
            <v>OLAREWAJU IBRAHEEM</v>
          </cell>
        </row>
        <row r="430">
          <cell r="A430">
            <v>29</v>
          </cell>
          <cell r="B430" t="str">
            <v>PAT00139</v>
          </cell>
          <cell r="C430" t="str">
            <v>AFEEZ ADEBIMPE</v>
          </cell>
          <cell r="D430" t="str">
            <v>Senior Financial Reporting Manager</v>
          </cell>
          <cell r="E430" t="str">
            <v>Collaborate with internal and external auditors to provide necessary information and support during audits, address any audit findings, and implement recommendations for improvement - interim audit closure - 31st Dec and year end audit - 28th Feb</v>
          </cell>
          <cell r="F430" t="str">
            <v>Collaborate with internal and external auditors to provide necessary information and support during audits, address any audit findings, and implement recommendations for improvement - interim audit closure - 31st Dec and year end audit - 28th Feb</v>
          </cell>
          <cell r="G430">
            <v>0.05</v>
          </cell>
          <cell r="H430">
            <v>0.05</v>
          </cell>
          <cell r="J430" t="str">
            <v>Collaborate with internal and external auditors to provide necessary information and support during audits, address any audit findings, and implement recommendations for improvement - interim audit closure - 31st Dec and year end audit - 28th Feb</v>
          </cell>
          <cell r="L430" t="str">
            <v>OLAREWAJU IBRAHEEM</v>
          </cell>
        </row>
        <row r="431">
          <cell r="A431">
            <v>29</v>
          </cell>
          <cell r="B431" t="str">
            <v>PAT00139</v>
          </cell>
          <cell r="C431" t="str">
            <v>AFEEZ ADEBIMPE</v>
          </cell>
          <cell r="D431" t="str">
            <v>Senior Financial Reporting Manager</v>
          </cell>
          <cell r="E431" t="str">
            <v>Champion regulatory requirement projects like ICFR, Tax Audit and related tasks - achieve 90% target timeline</v>
          </cell>
          <cell r="F431" t="str">
            <v>Champion regulatory requirement projects like ICFR, Tax Audit and related tasks - achieve 90% target timeline</v>
          </cell>
          <cell r="G431">
            <v>0.05</v>
          </cell>
          <cell r="H431">
            <v>0.05</v>
          </cell>
          <cell r="J431" t="str">
            <v>Champion regulatory requirement projects like ICFR, Tax Audit and related tasks - achieve 90% target timeline</v>
          </cell>
          <cell r="L431" t="str">
            <v>OLAREWAJU IBRAHEEM</v>
          </cell>
        </row>
        <row r="432">
          <cell r="A432">
            <v>29</v>
          </cell>
          <cell r="B432" t="str">
            <v>PAT00139</v>
          </cell>
          <cell r="C432" t="str">
            <v>AFEEZ ADEBIMPE</v>
          </cell>
          <cell r="D432" t="str">
            <v>Senior Financial Reporting Manager</v>
          </cell>
          <cell r="E432" t="str">
            <v>Review of income tax reports and liaising with tax consultants  - achieve 90% target timeline</v>
          </cell>
          <cell r="F432" t="str">
            <v>Review of income tax reports and liaising with tax consultants  - achieve 90% target timeline</v>
          </cell>
          <cell r="G432">
            <v>0.05</v>
          </cell>
          <cell r="H432">
            <v>0.05</v>
          </cell>
          <cell r="J432" t="str">
            <v>Review of income tax reports and liaising with tax consultants  - achieve 90% target timeline</v>
          </cell>
          <cell r="L432" t="str">
            <v>OLAREWAJU IBRAHEEM</v>
          </cell>
        </row>
        <row r="433">
          <cell r="A433">
            <v>29</v>
          </cell>
          <cell r="B433" t="str">
            <v>PAT00139</v>
          </cell>
          <cell r="C433" t="str">
            <v>AFEEZ ADEBIMPE</v>
          </cell>
          <cell r="D433" t="str">
            <v>Senior Financial Reporting Manager</v>
          </cell>
          <cell r="E433" t="str">
            <v>Develop and maintain financial reporting policies, procedures, and documentation in accordance with best practices and industry standards.</v>
          </cell>
          <cell r="F433" t="str">
            <v>Develop and maintain financial reporting policies, procedures, and documentation in accordance with best practices and industry standards.</v>
          </cell>
          <cell r="G433">
            <v>0.05</v>
          </cell>
          <cell r="H433">
            <v>0.05</v>
          </cell>
          <cell r="J433" t="str">
            <v>Develop and maintain financial reporting policies, procedures, and documentation in accordance with best practices and industry standards.</v>
          </cell>
          <cell r="L433" t="str">
            <v>OLAREWAJU IBRAHEEM</v>
          </cell>
        </row>
        <row r="434">
          <cell r="A434">
            <v>29</v>
          </cell>
          <cell r="B434" t="str">
            <v>PAT00139</v>
          </cell>
          <cell r="C434" t="str">
            <v>AFEEZ ADEBIMPE</v>
          </cell>
          <cell r="D434" t="str">
            <v>Senior Financial Reporting Manager</v>
          </cell>
          <cell r="E434" t="str">
            <v>Control review and GL hygiene - no abnormal items is found in the monthly TB review</v>
          </cell>
          <cell r="F434" t="str">
            <v>Control review and GL hygiene - no abnormal items is found in the monthly TB review</v>
          </cell>
          <cell r="G434">
            <v>0.05</v>
          </cell>
          <cell r="H434">
            <v>0.05</v>
          </cell>
          <cell r="J434" t="str">
            <v>Control review and GL hygiene - no abnormal items is found in the monthly TB review</v>
          </cell>
          <cell r="L434" t="str">
            <v>OLAREWAJU IBRAHEEM</v>
          </cell>
        </row>
        <row r="435">
          <cell r="A435">
            <v>29</v>
          </cell>
          <cell r="B435" t="str">
            <v>PAT00139</v>
          </cell>
          <cell r="C435" t="str">
            <v>AFEEZ ADEBIMPE</v>
          </cell>
          <cell r="D435" t="str">
            <v>Senior Financial Reporting Manager</v>
          </cell>
          <cell r="E435" t="str">
            <v>File FIRS annual return on or before the due date</v>
          </cell>
          <cell r="F435" t="str">
            <v>File FIRS annual return on or before the due date</v>
          </cell>
          <cell r="G435">
            <v>2.5000000000000001E-2</v>
          </cell>
          <cell r="H435">
            <v>2.5000000000000001E-2</v>
          </cell>
          <cell r="J435" t="str">
            <v>File FIRS annual return on or before the due date</v>
          </cell>
          <cell r="L435" t="str">
            <v>OLAREWAJU IBRAHEEM</v>
          </cell>
        </row>
        <row r="436">
          <cell r="A436">
            <v>29</v>
          </cell>
          <cell r="B436" t="str">
            <v>PAT00139</v>
          </cell>
          <cell r="C436" t="str">
            <v>AFEEZ ADEBIMPE</v>
          </cell>
          <cell r="D436" t="str">
            <v>Senior Financial Reporting Manager</v>
          </cell>
          <cell r="E436" t="str">
            <v>Drive annual CAFA processing</v>
          </cell>
          <cell r="F436" t="str">
            <v>Drive annual CAFA processing</v>
          </cell>
          <cell r="G436">
            <v>0.05</v>
          </cell>
          <cell r="H436">
            <v>0.05</v>
          </cell>
          <cell r="J436" t="str">
            <v>Drive annual CAFA processing</v>
          </cell>
          <cell r="L436" t="str">
            <v>OLAREWAJU IBRAHEEM</v>
          </cell>
        </row>
        <row r="437">
          <cell r="A437">
            <v>30</v>
          </cell>
          <cell r="B437" t="str">
            <v>PAT00138</v>
          </cell>
          <cell r="C437" t="str">
            <v>BENITA OKON</v>
          </cell>
          <cell r="D437" t="str">
            <v>Revenue Management Specialist</v>
          </cell>
          <cell r="E437" t="str">
            <v>Drive revenue and gross profit through contracting and value assurance</v>
          </cell>
          <cell r="F437" t="str">
            <v>Drive revenue and gross profit through contracting and value assurance</v>
          </cell>
          <cell r="G437">
            <v>0.2</v>
          </cell>
          <cell r="H437">
            <v>0.1</v>
          </cell>
          <cell r="I437">
            <v>0</v>
          </cell>
          <cell r="J437" t="str">
            <v>Implement financial tracking to ensure zero revenue leakage from new contract terms.</v>
          </cell>
          <cell r="L437" t="str">
            <v>OLAREWAJU IBRAHEEM</v>
          </cell>
        </row>
        <row r="438">
          <cell r="A438">
            <v>30</v>
          </cell>
          <cell r="B438" t="str">
            <v>PAT00138</v>
          </cell>
          <cell r="C438" t="str">
            <v>BENITA OKON</v>
          </cell>
          <cell r="D438" t="str">
            <v>Revenue Management Specialist</v>
          </cell>
          <cell r="F438" t="str">
            <v>Drive revenue and gross profit through contracting and value assurance</v>
          </cell>
          <cell r="H438">
            <v>0.1</v>
          </cell>
          <cell r="I438">
            <v>1</v>
          </cell>
          <cell r="J438" t="str">
            <v>Reconcile 100% of excess power charges and collections as per the contract, ensuring that optimal billing values are reflected in financial records in favour of PAT.</v>
          </cell>
          <cell r="L438" t="str">
            <v>OLAREWAJU IBRAHEEM</v>
          </cell>
        </row>
        <row r="439">
          <cell r="A439">
            <v>30</v>
          </cell>
          <cell r="B439" t="str">
            <v>PAT00138</v>
          </cell>
          <cell r="C439" t="str">
            <v>BENITA OKON</v>
          </cell>
          <cell r="D439" t="str">
            <v>Revenue Management Specialist</v>
          </cell>
          <cell r="E439" t="str">
            <v>Manage working capital within target objectives by Q2 2025. As part of working capital management, seek to collect on outstanding receivables and reduce AR impairments</v>
          </cell>
          <cell r="F439" t="str">
            <v>Manage working capital within target objectives by Q2 2025. As part of working capital management, seek to collect on outstanding receivables and reduce AR impairments</v>
          </cell>
          <cell r="G439">
            <v>0.2</v>
          </cell>
          <cell r="H439">
            <v>0.1</v>
          </cell>
          <cell r="I439">
            <v>1</v>
          </cell>
          <cell r="J439" t="str">
            <v>Conclude reconciliation of outstanding receivables of all customers monthly</v>
          </cell>
          <cell r="L439" t="str">
            <v>OLAREWAJU IBRAHEEM</v>
          </cell>
        </row>
        <row r="440">
          <cell r="A440">
            <v>30</v>
          </cell>
          <cell r="B440" t="str">
            <v>PAT00138</v>
          </cell>
          <cell r="C440" t="str">
            <v>BENITA OKON</v>
          </cell>
          <cell r="D440" t="str">
            <v>Revenue Management Specialist</v>
          </cell>
          <cell r="F440" t="str">
            <v>Manage working capital within target objectives by Q2 2025. As part of working capital management, seek to collect on outstanding receivables and reduce AR impairments</v>
          </cell>
          <cell r="H440">
            <v>0.1</v>
          </cell>
          <cell r="I440">
            <v>1</v>
          </cell>
          <cell r="J440" t="str">
            <v xml:space="preserve">Ensure 100% accuracy in invoices submitted (Inc. Optimal billing for excess power  in favour of PAT ) for 100% of invoices / sites </v>
          </cell>
          <cell r="L440" t="str">
            <v>OLAREWAJU IBRAHEEM</v>
          </cell>
        </row>
        <row r="441">
          <cell r="A441">
            <v>30</v>
          </cell>
          <cell r="B441" t="str">
            <v>PAT00138</v>
          </cell>
          <cell r="C441" t="str">
            <v>BENITA OKON</v>
          </cell>
          <cell r="D441" t="str">
            <v>Revenue Management Specialist</v>
          </cell>
          <cell r="E441" t="str">
            <v>Ensure PAT fully abides with financial and non-financial regulations</v>
          </cell>
          <cell r="F441" t="str">
            <v>Ensure PAT fully abides with financial and non-financial regulations</v>
          </cell>
          <cell r="G441">
            <v>0.1</v>
          </cell>
          <cell r="H441">
            <v>0.1</v>
          </cell>
          <cell r="I441" t="str">
            <v>≤April 2025</v>
          </cell>
          <cell r="J441" t="str">
            <v xml:space="preserve">Ensure PAT FY 2024 audited statements are finalized and submitted by April 2025 </v>
          </cell>
          <cell r="L441" t="str">
            <v>OLAREWAJU IBRAHEEM</v>
          </cell>
        </row>
        <row r="442">
          <cell r="A442">
            <v>30</v>
          </cell>
          <cell r="B442" t="str">
            <v>PAT00138</v>
          </cell>
          <cell r="C442" t="str">
            <v>BENITA OKON</v>
          </cell>
          <cell r="D442" t="str">
            <v>Revenue Management Specialist</v>
          </cell>
          <cell r="E442" t="str">
            <v>Enhance Finance Team Performance, Career Growth, and Retention</v>
          </cell>
          <cell r="F442" t="str">
            <v>Enhance Finance Team Performance, Career Growth, and Retention</v>
          </cell>
          <cell r="G442">
            <v>0.05</v>
          </cell>
          <cell r="H442">
            <v>2.5000000000000001E-2</v>
          </cell>
          <cell r="J442" t="str">
            <v>Ensure all Finance staff have OKRs set and aligned with business goals by the end of April 2025.</v>
          </cell>
          <cell r="L442" t="str">
            <v>OLAREWAJU IBRAHEEM</v>
          </cell>
        </row>
        <row r="443">
          <cell r="A443">
            <v>30</v>
          </cell>
          <cell r="B443" t="str">
            <v>PAT00138</v>
          </cell>
          <cell r="C443" t="str">
            <v>BENITA OKON</v>
          </cell>
          <cell r="D443" t="str">
            <v>Revenue Management Specialist</v>
          </cell>
          <cell r="F443" t="str">
            <v>Enhance Finance Team Performance, Career Growth, and Retention</v>
          </cell>
          <cell r="H443">
            <v>2.5000000000000001E-2</v>
          </cell>
          <cell r="I443" t="str">
            <v>&lt;5%</v>
          </cell>
          <cell r="J443" t="str">
            <v>Implement strategies to retain top Finance talent, ensuring attrition of senior personnel does not exceed 5%.</v>
          </cell>
          <cell r="L443" t="str">
            <v>OLAREWAJU IBRAHEEM</v>
          </cell>
        </row>
        <row r="444">
          <cell r="A444">
            <v>30</v>
          </cell>
          <cell r="B444" t="str">
            <v>PAT00138</v>
          </cell>
          <cell r="C444" t="str">
            <v>BENITA OKON</v>
          </cell>
          <cell r="D444" t="str">
            <v>Revenue Management Specialist</v>
          </cell>
          <cell r="E444" t="str">
            <v>Revenue recognition: achieve 100% revenue is recognized in compliance with company policies and accounting standards (completeness)</v>
          </cell>
          <cell r="F444" t="str">
            <v>Revenue recognition: achieve 100% revenue is recognized in compliance with company policies and accounting standards (completeness)</v>
          </cell>
          <cell r="G444">
            <v>0.15</v>
          </cell>
          <cell r="H444">
            <v>0.15</v>
          </cell>
          <cell r="J444" t="str">
            <v>Revenue recognition: achieve 100% revenue is recognized in compliance with company policies and accounting standards (completeness)</v>
          </cell>
          <cell r="L444" t="str">
            <v>OLAREWAJU IBRAHEEM</v>
          </cell>
        </row>
        <row r="445">
          <cell r="A445">
            <v>30</v>
          </cell>
          <cell r="B445" t="str">
            <v>PAT00138</v>
          </cell>
          <cell r="C445" t="str">
            <v>BENITA OKON</v>
          </cell>
          <cell r="D445" t="str">
            <v>Revenue Management Specialist</v>
          </cell>
          <cell r="E445" t="str">
            <v>Revenue Analysis: Analyze revenue data to track performance across different revenue streams and periods. Also, investigating any discrepancies between revenue reports and actual payments received, looking into issues like excess payments, chargebacks, or accounting errors.</v>
          </cell>
          <cell r="F445" t="str">
            <v>Revenue Analysis: Analyze revenue data to track performance across different revenue streams and periods. Also, investigating any discrepancies between revenue reports and actual payments received, looking into issues like excess payments, chargebacks, or accounting errors.</v>
          </cell>
          <cell r="G445">
            <v>0.05</v>
          </cell>
          <cell r="H445">
            <v>0.05</v>
          </cell>
          <cell r="J445" t="str">
            <v>Revenue Analysis: Analyze revenue data to track performance across different revenue streams and periods. Also, investigating any discrepancies between revenue reports and actual payments received, looking into issues like excess payments, chargebacks, or accounting errors.</v>
          </cell>
          <cell r="L445" t="str">
            <v>OLAREWAJU IBRAHEEM</v>
          </cell>
        </row>
        <row r="446">
          <cell r="A446">
            <v>30</v>
          </cell>
          <cell r="B446" t="str">
            <v>PAT00138</v>
          </cell>
          <cell r="C446" t="str">
            <v>BENITA OKON</v>
          </cell>
          <cell r="D446" t="str">
            <v>Revenue Management Specialist</v>
          </cell>
          <cell r="E446" t="str">
            <v>Budgeting: Develop projections for future periods as it relates to revenue per customer and collaborating with commercial departments to ensure accurate projections.</v>
          </cell>
          <cell r="F446" t="str">
            <v>Budgeting: Develop projections for future periods as it relates to revenue per customer and collaborating with commercial departments to ensure accurate projections.</v>
          </cell>
          <cell r="G446">
            <v>0.05</v>
          </cell>
          <cell r="H446">
            <v>0.05</v>
          </cell>
          <cell r="J446" t="str">
            <v>Budgeting: Develop projections for future periods as it relates to revenue per customer and collaborating with commercial departments to ensure accurate projections.</v>
          </cell>
          <cell r="L446" t="str">
            <v>OLAREWAJU IBRAHEEM</v>
          </cell>
        </row>
        <row r="447">
          <cell r="A447">
            <v>30</v>
          </cell>
          <cell r="B447" t="str">
            <v>PAT00138</v>
          </cell>
          <cell r="C447" t="str">
            <v>BENITA OKON</v>
          </cell>
          <cell r="D447" t="str">
            <v>Revenue Management Specialist</v>
          </cell>
          <cell r="E447" t="str">
            <v>Site Revenue Reporting: Tracking and reporting revenue generated per site and identifying all unbilled sites with justifications to support the site performance process.</v>
          </cell>
          <cell r="F447" t="str">
            <v>Site Revenue Reporting: Tracking and reporting revenue generated per site and identifying all unbilled sites with justifications to support the site performance process.</v>
          </cell>
          <cell r="G447">
            <v>0.05</v>
          </cell>
          <cell r="H447">
            <v>0.05</v>
          </cell>
          <cell r="J447" t="str">
            <v>Site Revenue Reporting: Tracking and reporting revenue generated per site and identifying all unbilled sites with justifications to support the site performance process.</v>
          </cell>
          <cell r="L447" t="str">
            <v>OLAREWAJU IBRAHEEM</v>
          </cell>
        </row>
        <row r="448">
          <cell r="A448">
            <v>30</v>
          </cell>
          <cell r="B448" t="str">
            <v>PAT00138</v>
          </cell>
          <cell r="C448" t="str">
            <v>BENITA OKON</v>
          </cell>
          <cell r="D448" t="str">
            <v>Revenue Management Specialist</v>
          </cell>
          <cell r="E448" t="str">
            <v>Payment Collection and Monitoring: Proactively following up with customers who have outstanding invoices, applying received payments to the appropriate customer accounts, ensuring that accounts are updated correctly, and tracking incoming payments from customers, ensuring they are processed and recorded accurately</v>
          </cell>
          <cell r="F448" t="str">
            <v>Payment Collection and Monitoring: Proactively following up with customers who have outstanding invoices, applying received payments to the appropriate customer accounts, ensuring that accounts are updated correctly, and tracking incoming payments from customers, ensuring they are processed and recorded accurately</v>
          </cell>
          <cell r="G448">
            <v>0.1</v>
          </cell>
          <cell r="H448">
            <v>0.1</v>
          </cell>
          <cell r="J448" t="str">
            <v>Payment Collection and Monitoring: Proactively following up with customers who have outstanding invoices, applying received payments to the appropriate customer accounts, ensuring that accounts are updated correctly, and tracking incoming payments from customers, ensuring they are processed and recorded accurately</v>
          </cell>
          <cell r="L448" t="str">
            <v>OLAREWAJU IBRAHEEM</v>
          </cell>
        </row>
        <row r="449">
          <cell r="A449">
            <v>30</v>
          </cell>
          <cell r="B449" t="str">
            <v>PAT00138</v>
          </cell>
          <cell r="C449" t="str">
            <v>BENITA OKON</v>
          </cell>
          <cell r="D449" t="str">
            <v>Revenue Management Specialist</v>
          </cell>
          <cell r="E449" t="str">
            <v>Bad Debt Management: Identifying uncollectible accounts with commercials department and advising on  provisions for doubtful accounts where necessary</v>
          </cell>
          <cell r="F449" t="str">
            <v>Bad Debt Management: Identifying uncollectible accounts with commercials department and advising on  provisions for doubtful accounts where necessary</v>
          </cell>
          <cell r="G449">
            <v>0.05</v>
          </cell>
          <cell r="H449">
            <v>0.05</v>
          </cell>
          <cell r="J449" t="str">
            <v>Bad Debt Management: Identifying uncollectible accounts with commercials department and advising on  provisions for doubtful accounts where necessary</v>
          </cell>
          <cell r="L449" t="str">
            <v>OLAREWAJU IBRAHEEM</v>
          </cell>
        </row>
        <row r="450">
          <cell r="A450">
            <v>31</v>
          </cell>
          <cell r="B450" t="str">
            <v>PAT00059</v>
          </cell>
          <cell r="C450" t="str">
            <v>FEYISAYO OSUN</v>
          </cell>
          <cell r="D450" t="str">
            <v xml:space="preserve">Treasury Specialist </v>
          </cell>
          <cell r="E450" t="str">
            <v>Ensure PAT fully abides with financial and non-financial regulations</v>
          </cell>
          <cell r="F450" t="str">
            <v>Ensure PAT fully abides with financial and non-financial regulations</v>
          </cell>
          <cell r="G450">
            <v>0.1</v>
          </cell>
          <cell r="H450">
            <v>0.1</v>
          </cell>
          <cell r="I450" t="str">
            <v>≤April 2025</v>
          </cell>
          <cell r="J450" t="str">
            <v xml:space="preserve">Ensure PAT FY 2024 audited statements are finalized and submitted by April 2025 </v>
          </cell>
          <cell r="L450" t="str">
            <v>OLAREWAJU IBRAHEEM</v>
          </cell>
        </row>
        <row r="451">
          <cell r="A451">
            <v>31</v>
          </cell>
          <cell r="B451" t="str">
            <v>PAT00059</v>
          </cell>
          <cell r="C451" t="str">
            <v>FEYISAYO OSUN</v>
          </cell>
          <cell r="D451" t="str">
            <v xml:space="preserve">Treasury Specialist </v>
          </cell>
          <cell r="E451" t="str">
            <v>Enhance Finance Team Performance, Career Growth, and Retention</v>
          </cell>
          <cell r="F451" t="str">
            <v>Enhance Finance Team Performance, Career Growth, and Retention</v>
          </cell>
          <cell r="G451">
            <v>0.1</v>
          </cell>
          <cell r="H451">
            <v>0.05</v>
          </cell>
          <cell r="J451" t="str">
            <v>Ensure all Finance staff have OKRs set and aligned with business goals by the end of April 2025.</v>
          </cell>
          <cell r="L451" t="str">
            <v>OLAREWAJU IBRAHEEM</v>
          </cell>
        </row>
        <row r="452">
          <cell r="A452">
            <v>31</v>
          </cell>
          <cell r="B452" t="str">
            <v>PAT00059</v>
          </cell>
          <cell r="C452" t="str">
            <v>FEYISAYO OSUN</v>
          </cell>
          <cell r="D452" t="str">
            <v xml:space="preserve">Treasury Specialist </v>
          </cell>
          <cell r="F452" t="str">
            <v>Enhance Finance Team Performance, Career Growth, and Retention</v>
          </cell>
          <cell r="H452">
            <v>0.05</v>
          </cell>
          <cell r="I452" t="str">
            <v>&lt;5%</v>
          </cell>
          <cell r="J452" t="str">
            <v>Implement strategies to retain top Finance talent, ensuring attrition of senior personnel does not exceed 5%.</v>
          </cell>
          <cell r="L452" t="str">
            <v>OLAREWAJU IBRAHEEM</v>
          </cell>
        </row>
        <row r="453">
          <cell r="A453">
            <v>31</v>
          </cell>
          <cell r="B453" t="str">
            <v>PAT00059</v>
          </cell>
          <cell r="C453" t="str">
            <v>FEYISAYO OSUN</v>
          </cell>
          <cell r="D453" t="str">
            <v xml:space="preserve">Treasury Specialist </v>
          </cell>
          <cell r="E453" t="str">
            <v>Cash Management and Forecasting - achieve 100% of daily monitoring of cash balances of all company's accounts to achieve a strong liquidity position.</v>
          </cell>
          <cell r="F453" t="str">
            <v>Cash Management and Forecasting - achieve 100% of daily monitoring of cash balances of all company's accounts to achieve a strong liquidity position.</v>
          </cell>
          <cell r="G453">
            <v>0.2</v>
          </cell>
          <cell r="H453">
            <v>0.2</v>
          </cell>
          <cell r="J453" t="str">
            <v>Cash Management and Forecasting - achieve 100% of daily monitoring of cash balances of all company's accounts to achieve a strong liquidity position.</v>
          </cell>
          <cell r="L453" t="str">
            <v>OLAREWAJU IBRAHEEM</v>
          </cell>
        </row>
        <row r="454">
          <cell r="A454">
            <v>31</v>
          </cell>
          <cell r="B454" t="str">
            <v>PAT00059</v>
          </cell>
          <cell r="C454" t="str">
            <v>FEYISAYO OSUN</v>
          </cell>
          <cell r="D454" t="str">
            <v xml:space="preserve">Treasury Specialist </v>
          </cell>
          <cell r="E454" t="str">
            <v>Banking Relationship Management - achieve great banking relationships to achieve resolutions on all bank matters within 24hrs to 48hrs.</v>
          </cell>
          <cell r="F454" t="str">
            <v>Banking Relationship Management - achieve great banking relationships to achieve resolutions on all bank matters within 24hrs to 48hrs.</v>
          </cell>
          <cell r="G454">
            <v>0.2</v>
          </cell>
          <cell r="H454">
            <v>0.2</v>
          </cell>
          <cell r="J454" t="str">
            <v>Banking Relationship Management - achieve great banking relationships to achieve resolutions on all bank matters within 24hrs to 48hrs.</v>
          </cell>
          <cell r="L454" t="str">
            <v>OLAREWAJU IBRAHEEM</v>
          </cell>
        </row>
        <row r="455">
          <cell r="A455">
            <v>31</v>
          </cell>
          <cell r="B455" t="str">
            <v>PAT00059</v>
          </cell>
          <cell r="C455" t="str">
            <v>FEYISAYO OSUN</v>
          </cell>
          <cell r="D455" t="str">
            <v xml:space="preserve">Treasury Specialist </v>
          </cell>
          <cell r="E455" t="str">
            <v>PAYMENT EFFICIENCY - achieve 100% error free in all payments upload &amp; transfer instructions, and no duplicates in payment.</v>
          </cell>
          <cell r="F455" t="str">
            <v>PAYMENT EFFICIENCY - achieve 100% error free in all payments upload &amp; transfer instructions, and no duplicates in payment.</v>
          </cell>
          <cell r="G455">
            <v>0.2</v>
          </cell>
          <cell r="H455">
            <v>0.2</v>
          </cell>
          <cell r="J455" t="str">
            <v>PAYMENT EFFICIENCY - achieve 100% error free in all payments upload &amp; transfer instructions, and no duplicates in payment.</v>
          </cell>
          <cell r="L455" t="str">
            <v>OLAREWAJU IBRAHEEM</v>
          </cell>
        </row>
        <row r="456">
          <cell r="A456">
            <v>31</v>
          </cell>
          <cell r="B456" t="str">
            <v>PAT00059</v>
          </cell>
          <cell r="C456" t="str">
            <v>FEYISAYO OSUN</v>
          </cell>
          <cell r="D456" t="str">
            <v xml:space="preserve">Treasury Specialist </v>
          </cell>
          <cell r="E456" t="str">
            <v>BANK RECONCILIATION - achieve 100% bank reconciliations of all PAT bank accounts on 5th day of new month.</v>
          </cell>
          <cell r="F456" t="str">
            <v>BANK RECONCILIATION - achieve 100% bank reconciliations of all PAT bank accounts on 5th day of new month.</v>
          </cell>
          <cell r="G456">
            <v>0.2</v>
          </cell>
          <cell r="H456">
            <v>0.2</v>
          </cell>
          <cell r="J456" t="str">
            <v>BANK RECONCILIATION - achieve 100% bank reconciliations of all PAT bank accounts on 5th day of new month.</v>
          </cell>
          <cell r="L456" t="str">
            <v>OLAREWAJU IBRAHEEM</v>
          </cell>
        </row>
        <row r="457">
          <cell r="A457">
            <v>32</v>
          </cell>
          <cell r="B457" t="str">
            <v>PAT00146</v>
          </cell>
          <cell r="C457" t="str">
            <v>SODEEQ AKOREDE</v>
          </cell>
          <cell r="D457" t="str">
            <v>Financial Planning and Analysis Specialist</v>
          </cell>
          <cell r="E457" t="str">
            <v>Ensure capex spend in line with company needs</v>
          </cell>
          <cell r="F457" t="str">
            <v>Ensure capex spend in line with company needs</v>
          </cell>
          <cell r="G457">
            <v>0.1</v>
          </cell>
          <cell r="H457">
            <v>0.1</v>
          </cell>
          <cell r="I457" t="str">
            <v>&gt;10%</v>
          </cell>
          <cell r="J457" t="str">
            <v>Improve ROI tracking on capex projects, ensuring a minimum return of 10% on investments.</v>
          </cell>
          <cell r="L457" t="str">
            <v>OLAREWAJU IBRAHEEM</v>
          </cell>
        </row>
        <row r="458">
          <cell r="A458">
            <v>32</v>
          </cell>
          <cell r="B458" t="str">
            <v>PAT00146</v>
          </cell>
          <cell r="C458" t="str">
            <v>SODEEQ AKOREDE</v>
          </cell>
          <cell r="D458" t="str">
            <v>Financial Planning and Analysis Specialist</v>
          </cell>
          <cell r="E458" t="str">
            <v>Ensure PAT fully abides with financial and non-financial regulations</v>
          </cell>
          <cell r="F458" t="str">
            <v>Ensure PAT fully abides with financial and non-financial regulations</v>
          </cell>
          <cell r="G458">
            <v>0.05</v>
          </cell>
          <cell r="H458">
            <v>0.05</v>
          </cell>
          <cell r="I458" t="str">
            <v>≤April 2025</v>
          </cell>
          <cell r="J458" t="str">
            <v xml:space="preserve">Ensure PAT FY 2024 audited statements are finalized and submitted by April 2025 </v>
          </cell>
          <cell r="L458" t="str">
            <v>OLAREWAJU IBRAHEEM</v>
          </cell>
        </row>
        <row r="459">
          <cell r="A459">
            <v>32</v>
          </cell>
          <cell r="B459" t="str">
            <v>PAT00146</v>
          </cell>
          <cell r="C459" t="str">
            <v>SODEEQ AKOREDE</v>
          </cell>
          <cell r="D459" t="str">
            <v>Financial Planning and Analysis Specialist</v>
          </cell>
          <cell r="E459" t="str">
            <v>Enhance Finance Team Performance, Career Growth, and Retention</v>
          </cell>
          <cell r="F459" t="str">
            <v>Enhance Finance Team Performance, Career Growth, and Retention</v>
          </cell>
          <cell r="G459">
            <v>0.05</v>
          </cell>
          <cell r="H459">
            <v>2.5000000000000001E-2</v>
          </cell>
          <cell r="J459" t="str">
            <v>Ensure all Finance staff have OKRs set and aligned with business goals by the end of April 2025.</v>
          </cell>
          <cell r="L459" t="str">
            <v>OLAREWAJU IBRAHEEM</v>
          </cell>
        </row>
        <row r="460">
          <cell r="A460">
            <v>32</v>
          </cell>
          <cell r="B460" t="str">
            <v>PAT00146</v>
          </cell>
          <cell r="C460" t="str">
            <v>SODEEQ AKOREDE</v>
          </cell>
          <cell r="D460" t="str">
            <v>Financial Planning and Analysis Specialist</v>
          </cell>
          <cell r="F460" t="str">
            <v>Enhance Finance Team Performance, Career Growth, and Retention</v>
          </cell>
          <cell r="H460">
            <v>2.5000000000000001E-2</v>
          </cell>
          <cell r="I460" t="str">
            <v>&lt;5%</v>
          </cell>
          <cell r="J460" t="str">
            <v>Implement strategies to retain top Finance talent, ensuring attrition of senior personnel does not exceed 5%.</v>
          </cell>
          <cell r="L460" t="str">
            <v>OLAREWAJU IBRAHEEM</v>
          </cell>
        </row>
        <row r="461">
          <cell r="A461">
            <v>32</v>
          </cell>
          <cell r="B461" t="str">
            <v>PAT00146</v>
          </cell>
          <cell r="C461" t="str">
            <v>SODEEQ AKOREDE</v>
          </cell>
          <cell r="D461" t="str">
            <v>Financial Planning and Analysis Specialist</v>
          </cell>
          <cell r="E461" t="str">
            <v>Investment Appraisal: Develop financial models to assess return on investment (ROI) and payback period prior to site investments and redevelopment projects.</v>
          </cell>
          <cell r="F461" t="str">
            <v>Investment Appraisal: Develop financial models to assess return on investment (ROI) and payback period prior to site investments and redevelopment projects.</v>
          </cell>
          <cell r="G461">
            <v>0.2</v>
          </cell>
          <cell r="H461">
            <v>0.2</v>
          </cell>
          <cell r="J461" t="str">
            <v>Investment Appraisal: Develop financial models to assess return on investment (ROI) and payback period prior to site investments and redevelopment projects.</v>
          </cell>
          <cell r="L461" t="str">
            <v>OLAREWAJU IBRAHEEM</v>
          </cell>
        </row>
        <row r="462">
          <cell r="A462">
            <v>32</v>
          </cell>
          <cell r="B462" t="str">
            <v>PAT00146</v>
          </cell>
          <cell r="C462" t="str">
            <v>SODEEQ AKOREDE</v>
          </cell>
          <cell r="D462" t="str">
            <v>Financial Planning and Analysis Specialist</v>
          </cell>
          <cell r="E462" t="str">
            <v>Contract Commercials Analysis: Prepare analysis of contract commercials for negotiations, ensuring a minimum 40% profit margin on customer contracts and a 10% cost saving on vendor contracts before finalizing.</v>
          </cell>
          <cell r="F462" t="str">
            <v>Contract Commercials Analysis: Prepare analysis of contract commercials for negotiations, ensuring a minimum 40% profit margin on customer contracts and a 10% cost saving on vendor contracts before finalizing.</v>
          </cell>
          <cell r="G462">
            <v>0.1</v>
          </cell>
          <cell r="H462">
            <v>0.2</v>
          </cell>
          <cell r="J462" t="str">
            <v>Contract Commercials Analysis: Prepare analysis of contract commercials for negotiations, ensuring a minimum 40% profit margin on customer contracts and a 10% cost saving on vendor contracts before finalizing.</v>
          </cell>
          <cell r="L462" t="str">
            <v>OLAREWAJU IBRAHEEM</v>
          </cell>
        </row>
        <row r="463">
          <cell r="A463">
            <v>32</v>
          </cell>
          <cell r="B463" t="str">
            <v>PAT00146</v>
          </cell>
          <cell r="C463" t="str">
            <v>SODEEQ AKOREDE</v>
          </cell>
          <cell r="D463" t="str">
            <v>Financial Planning and Analysis Specialist</v>
          </cell>
          <cell r="E463" t="str">
            <v>Board Pack Preparation: Collate and deliver quarterly board meeting materials, including monthly strategy and procurement committee decks, maintaining a 100% on-time delivery rate and 0% errors in data accuracy.</v>
          </cell>
          <cell r="F463" t="str">
            <v>Board Pack Preparation: Collate and deliver quarterly board meeting materials, including monthly strategy and procurement committee decks, maintaining a 100% on-time delivery rate and 0% errors in data accuracy.</v>
          </cell>
          <cell r="G463">
            <v>0.2</v>
          </cell>
          <cell r="H463">
            <v>0.2</v>
          </cell>
          <cell r="J463" t="str">
            <v>Board Pack Preparation: Collate and deliver quarterly board meeting materials, including monthly strategy and procurement committee decks, maintaining a 100% on-time delivery rate and 0% errors in data accuracy.</v>
          </cell>
          <cell r="L463" t="str">
            <v>OLAREWAJU IBRAHEEM</v>
          </cell>
        </row>
        <row r="464">
          <cell r="A464">
            <v>32</v>
          </cell>
          <cell r="B464" t="str">
            <v>PAT00146</v>
          </cell>
          <cell r="C464" t="str">
            <v>SODEEQ AKOREDE</v>
          </cell>
          <cell r="D464" t="str">
            <v>Financial Planning and Analysis Specialist</v>
          </cell>
          <cell r="E464" t="str">
            <v>Site Profitability Assurance: Conduct site profitability analysis for prior to every land lease renewal and opex deployment.</v>
          </cell>
          <cell r="F464" t="str">
            <v>Site Profitability Assurance: Conduct site profitability analysis for prior to every land lease renewal and opex deployment.</v>
          </cell>
          <cell r="G464">
            <v>0.15</v>
          </cell>
          <cell r="H464">
            <v>0.2</v>
          </cell>
          <cell r="J464" t="str">
            <v>Site Profitability Assurance: Conduct site profitability analysis for prior to every land lease renewal and opex deployment.</v>
          </cell>
          <cell r="L464" t="str">
            <v>OLAREWAJU IBRAHEEM</v>
          </cell>
        </row>
        <row r="465">
          <cell r="A465">
            <v>33</v>
          </cell>
          <cell r="B465" t="str">
            <v>PAT00031</v>
          </cell>
          <cell r="C465" t="str">
            <v>OLAMIDE JINADU</v>
          </cell>
          <cell r="D465" t="str">
            <v>Finance Officer</v>
          </cell>
          <cell r="E465" t="str">
            <v>Ensure PAT fully abides with financial and non-financial regulations</v>
          </cell>
          <cell r="F465" t="str">
            <v>Ensure PAT fully abides with financial and non-financial regulations</v>
          </cell>
          <cell r="G465">
            <v>0.1</v>
          </cell>
          <cell r="H465">
            <v>0.1</v>
          </cell>
          <cell r="I465" t="str">
            <v>≤April 2025</v>
          </cell>
          <cell r="J465" t="str">
            <v xml:space="preserve">Ensure PAT FY 2024 audited statements are finalized and submitted by April 2025 </v>
          </cell>
          <cell r="L465" t="str">
            <v>OLAREWAJU IBRAHEEM</v>
          </cell>
        </row>
        <row r="466">
          <cell r="A466">
            <v>33</v>
          </cell>
          <cell r="B466" t="str">
            <v>PAT00031</v>
          </cell>
          <cell r="C466" t="str">
            <v>OLAMIDE JINADU</v>
          </cell>
          <cell r="D466" t="str">
            <v>Finance Officer</v>
          </cell>
          <cell r="E466" t="str">
            <v>Enhance Finance Team Performance, Career Growth, and Retention</v>
          </cell>
          <cell r="F466" t="str">
            <v>Enhance Finance Team Performance, Career Growth, and Retention</v>
          </cell>
          <cell r="G466">
            <v>0.05</v>
          </cell>
          <cell r="H466">
            <v>2.5000000000000001E-2</v>
          </cell>
          <cell r="J466" t="str">
            <v>Ensure all Finance staff have OKRs set and aligned with business goals by the end of April 2025.</v>
          </cell>
          <cell r="L466" t="str">
            <v>OLAREWAJU IBRAHEEM</v>
          </cell>
        </row>
        <row r="467">
          <cell r="A467">
            <v>33</v>
          </cell>
          <cell r="B467" t="str">
            <v>PAT00031</v>
          </cell>
          <cell r="C467" t="str">
            <v>OLAMIDE JINADU</v>
          </cell>
          <cell r="D467" t="str">
            <v>Finance Officer</v>
          </cell>
          <cell r="F467" t="str">
            <v>Enhance Finance Team Performance, Career Growth, and Retention</v>
          </cell>
          <cell r="H467">
            <v>2.5000000000000001E-2</v>
          </cell>
          <cell r="I467" t="str">
            <v>&lt;5%</v>
          </cell>
          <cell r="J467" t="str">
            <v>Implement strategies to retain top Finance talent, ensuring attrition of senior personnel does not exceed 5%.</v>
          </cell>
          <cell r="L467" t="str">
            <v>OLAREWAJU IBRAHEEM</v>
          </cell>
        </row>
        <row r="468">
          <cell r="A468">
            <v>33</v>
          </cell>
          <cell r="B468" t="str">
            <v>PAT00031</v>
          </cell>
          <cell r="C468" t="str">
            <v>OLAMIDE JINADU</v>
          </cell>
          <cell r="D468" t="str">
            <v>Finance Officer</v>
          </cell>
          <cell r="E468" t="str">
            <v>VENDOR SATISFACTION: Address all vendors queries within 24hrs to 48hrs max</v>
          </cell>
          <cell r="F468" t="str">
            <v>VENDOR SATISFACTION: Address all vendors queries within 24hrs to 48hrs max</v>
          </cell>
          <cell r="G468">
            <v>0.1</v>
          </cell>
          <cell r="H468">
            <v>0.1</v>
          </cell>
          <cell r="J468" t="str">
            <v>VENDOR SATISFACTION: Address all vendors queries within 24hrs to 48hrs max</v>
          </cell>
          <cell r="L468" t="str">
            <v>OLAREWAJU IBRAHEEM</v>
          </cell>
        </row>
        <row r="469">
          <cell r="A469">
            <v>33</v>
          </cell>
          <cell r="B469" t="str">
            <v>PAT00031</v>
          </cell>
          <cell r="C469" t="str">
            <v>OLAMIDE JINADU</v>
          </cell>
          <cell r="D469" t="str">
            <v>Finance Officer</v>
          </cell>
          <cell r="E469" t="str">
            <v>REPORTING: Achieve 100% classification of all payment vouchers on the respective GL by the 2nd of the following month</v>
          </cell>
          <cell r="F469" t="str">
            <v>REPORTING: Achieve 100% classification of all payment vouchers on the respective GL by the 2nd of the following month</v>
          </cell>
          <cell r="G469">
            <v>0.1</v>
          </cell>
          <cell r="H469">
            <v>0.1</v>
          </cell>
          <cell r="J469" t="str">
            <v>REPORTING: Achieve 100% classification of all payment vouchers on the respective GL by the 2nd of the following month</v>
          </cell>
          <cell r="L469" t="str">
            <v>OLAREWAJU IBRAHEEM</v>
          </cell>
        </row>
        <row r="470">
          <cell r="A470">
            <v>33</v>
          </cell>
          <cell r="B470" t="str">
            <v>PAT00031</v>
          </cell>
          <cell r="C470" t="str">
            <v>OLAMIDE JINADU</v>
          </cell>
          <cell r="D470" t="str">
            <v>Finance Officer</v>
          </cell>
          <cell r="E470" t="str">
            <v>RECONCILIATION: Achieve 100% vendor account reconciliation with PAT payable within 48hrs of new payment</v>
          </cell>
          <cell r="F470" t="str">
            <v>RECONCILIATION: Achieve 100% vendor account reconciliation with PAT payable within 48hrs of new payment</v>
          </cell>
          <cell r="G470">
            <v>0.1</v>
          </cell>
          <cell r="H470">
            <v>0.1</v>
          </cell>
          <cell r="J470" t="str">
            <v>RECONCILIATION: Achieve 100% vendor account reconciliation with PAT payable within 48hrs of new payment</v>
          </cell>
          <cell r="L470" t="str">
            <v>OLAREWAJU IBRAHEEM</v>
          </cell>
        </row>
        <row r="471">
          <cell r="A471">
            <v>33</v>
          </cell>
          <cell r="B471" t="str">
            <v>PAT00031</v>
          </cell>
          <cell r="C471" t="str">
            <v>OLAMIDE JINADU</v>
          </cell>
          <cell r="D471" t="str">
            <v>Finance Officer</v>
          </cell>
          <cell r="E471" t="str">
            <v>INVOICE &amp; PAYMENT ERROR RATE: Achieve 100% error free rate in all of the invoices submitted and accepted by finance, Achieve 0% duplicate payment of invoice from 100% payment made.</v>
          </cell>
          <cell r="F471" t="str">
            <v>INVOICE &amp; PAYMENT ERROR RATE: Achieve 100% error free rate in all of the invoices submitted and accepted by finance, Achieve 0% duplicate payment of invoice from 100% payment made.</v>
          </cell>
          <cell r="G471">
            <v>0.1</v>
          </cell>
          <cell r="H471">
            <v>0.1</v>
          </cell>
          <cell r="J471" t="str">
            <v>INVOICE &amp; PAYMENT ERROR RATE: Achieve 100% error free rate in all of the invoices submitted and accepted by finance, Achieve 0% duplicate payment of invoice from 100% payment made.</v>
          </cell>
          <cell r="L471" t="str">
            <v>OLAREWAJU IBRAHEEM</v>
          </cell>
        </row>
        <row r="472">
          <cell r="A472">
            <v>33</v>
          </cell>
          <cell r="B472" t="str">
            <v>PAT00031</v>
          </cell>
          <cell r="C472" t="str">
            <v>OLAMIDE JINADU</v>
          </cell>
          <cell r="D472" t="str">
            <v>Finance Officer</v>
          </cell>
          <cell r="E472" t="str">
            <v>ASSET SCHEDULE: Attend to all asset classification request from warehouse within 24hrs to 48hrs</v>
          </cell>
          <cell r="F472" t="str">
            <v>ASSET SCHEDULE: Attend to all asset classification request from warehouse within 24hrs to 48hrs</v>
          </cell>
          <cell r="G472">
            <v>0.05</v>
          </cell>
          <cell r="H472">
            <v>0.05</v>
          </cell>
          <cell r="J472" t="str">
            <v>ASSET SCHEDULE: Attend to all asset classification request from warehouse within 24hrs to 48hrs</v>
          </cell>
          <cell r="L472" t="str">
            <v>OLAREWAJU IBRAHEEM</v>
          </cell>
        </row>
        <row r="473">
          <cell r="A473">
            <v>33</v>
          </cell>
          <cell r="B473" t="str">
            <v>PAT00031</v>
          </cell>
          <cell r="C473" t="str">
            <v>OLAMIDE JINADU</v>
          </cell>
          <cell r="D473" t="str">
            <v>Finance Officer</v>
          </cell>
          <cell r="E473" t="str">
            <v>INVOICE PROCESSING TIME: Average time it takes to process an invoice from receipt.  Matching of all invoice and purchase order on Vendors account before transfer to treasury for payment within 24hrs of payment memo receipt.</v>
          </cell>
          <cell r="F473" t="str">
            <v>INVOICE PROCESSING TIME: Average time it takes to process an invoice from receipt.  Matching of all invoice and purchase order on Vendors account before transfer to treasury for payment within 24hrs of payment memo receipt.</v>
          </cell>
          <cell r="G473">
            <v>0.1</v>
          </cell>
          <cell r="H473">
            <v>0.1</v>
          </cell>
          <cell r="J473" t="str">
            <v>INVOICE PROCESSING TIME: Average time it takes to process an invoice from receipt.  Matching of all invoice and purchase order on Vendors account before transfer to treasury for payment within 24hrs of payment memo receipt.</v>
          </cell>
          <cell r="L473" t="str">
            <v>OLAREWAJU IBRAHEEM</v>
          </cell>
        </row>
        <row r="474">
          <cell r="A474">
            <v>33</v>
          </cell>
          <cell r="B474" t="str">
            <v>PAT00031</v>
          </cell>
          <cell r="C474" t="str">
            <v>OLAMIDE JINADU</v>
          </cell>
          <cell r="D474" t="str">
            <v>Finance Officer</v>
          </cell>
          <cell r="E474" t="str">
            <v>COMPLIANCE TO REGULATIONS: Achieve 100% of all invoices are subjected to VAT and WHT rates as applicable to job done or services rendered</v>
          </cell>
          <cell r="F474" t="str">
            <v>COMPLIANCE TO REGULATIONS: Achieve 100% of all invoices are subjected to VAT and WHT rates as applicable to job done or services rendered</v>
          </cell>
          <cell r="G474">
            <v>0.1</v>
          </cell>
          <cell r="H474">
            <v>0.1</v>
          </cell>
          <cell r="J474" t="str">
            <v>COMPLIANCE TO REGULATIONS: Achieve 100% of all invoices are subjected to VAT and WHT rates as applicable to job done or services rendered</v>
          </cell>
          <cell r="L474" t="str">
            <v>OLAREWAJU IBRAHEEM</v>
          </cell>
        </row>
        <row r="475">
          <cell r="A475">
            <v>33</v>
          </cell>
          <cell r="B475" t="str">
            <v>PAT00031</v>
          </cell>
          <cell r="C475" t="str">
            <v>OLAMIDE JINADU</v>
          </cell>
          <cell r="D475" t="str">
            <v>Finance Officer</v>
          </cell>
          <cell r="E475" t="str">
            <v>DUPLICATE PAYMENT RATE: Achieve 0% duplicate payment of invoice from 100% payment made</v>
          </cell>
          <cell r="F475" t="str">
            <v>DUPLICATE PAYMENT RATE: Achieve 0% duplicate payment of invoice from 100% payment made</v>
          </cell>
          <cell r="G475">
            <v>0.1</v>
          </cell>
          <cell r="H475">
            <v>0.1</v>
          </cell>
          <cell r="J475" t="str">
            <v>DUPLICATE PAYMENT RATE: Achieve 0% duplicate payment of invoice from 100% payment made</v>
          </cell>
          <cell r="L475" t="str">
            <v>OLAREWAJU IBRAHEEM</v>
          </cell>
        </row>
        <row r="476">
          <cell r="A476">
            <v>33</v>
          </cell>
          <cell r="B476" t="str">
            <v>PAT00031</v>
          </cell>
          <cell r="C476" t="str">
            <v>OLAMIDE JINADU</v>
          </cell>
          <cell r="D476" t="str">
            <v>Finance Officer</v>
          </cell>
          <cell r="E476" t="str">
            <v>COST OF SALES: Achieve 100% complete recognition of cost of sales on SAP by 3rd of each month.</v>
          </cell>
          <cell r="F476" t="str">
            <v>COST OF SALES: Achieve 100% complete recognition of cost of sales on SAP by 3rd of each month.</v>
          </cell>
          <cell r="G476">
            <v>0.1</v>
          </cell>
          <cell r="H476">
            <v>0.1</v>
          </cell>
          <cell r="J476" t="str">
            <v>COST OF SALES: Achieve 100% complete recognition of cost of sales on SAP by 3rd of each month.</v>
          </cell>
          <cell r="L476" t="str">
            <v>OLAREWAJU IBRAHEEM</v>
          </cell>
        </row>
        <row r="477">
          <cell r="A477">
            <v>34</v>
          </cell>
          <cell r="B477" t="str">
            <v>PAT00162</v>
          </cell>
          <cell r="C477" t="str">
            <v>AMARA OKEKE</v>
          </cell>
          <cell r="D477" t="str">
            <v xml:space="preserve">Credit Control Specialst </v>
          </cell>
          <cell r="E477" t="str">
            <v>Drive revenue and gross profit through contracting and value assurance</v>
          </cell>
          <cell r="F477" t="str">
            <v>Drive revenue and gross profit through contracting and value assurance</v>
          </cell>
          <cell r="G477">
            <v>0.15</v>
          </cell>
          <cell r="H477">
            <v>0.1</v>
          </cell>
          <cell r="I477">
            <v>0</v>
          </cell>
          <cell r="J477" t="str">
            <v>Implement financial tracking to ensure zero revenue leakage from new contract terms.</v>
          </cell>
          <cell r="L477" t="str">
            <v>OLAREWAJU IBRAHEEM</v>
          </cell>
        </row>
        <row r="478">
          <cell r="A478">
            <v>34</v>
          </cell>
          <cell r="B478" t="str">
            <v>PAT00162</v>
          </cell>
          <cell r="C478" t="str">
            <v>AMARA OKEKE</v>
          </cell>
          <cell r="D478" t="str">
            <v xml:space="preserve">Credit Control Specialst </v>
          </cell>
          <cell r="F478" t="str">
            <v>Drive revenue and gross profit through contracting and value assurance</v>
          </cell>
          <cell r="H478">
            <v>0.05</v>
          </cell>
          <cell r="I478">
            <v>1</v>
          </cell>
          <cell r="J478" t="str">
            <v>Reconcile 100% of excess power charges and collections as per the contract, ensuring that optimal billing values are reflected in financial records in favour of PAT.</v>
          </cell>
          <cell r="L478" t="str">
            <v>OLAREWAJU IBRAHEEM</v>
          </cell>
        </row>
        <row r="479">
          <cell r="A479">
            <v>34</v>
          </cell>
          <cell r="B479" t="str">
            <v>PAT00162</v>
          </cell>
          <cell r="C479" t="str">
            <v>AMARA OKEKE</v>
          </cell>
          <cell r="D479" t="str">
            <v xml:space="preserve">Credit Control Specialst </v>
          </cell>
          <cell r="E479" t="str">
            <v>Manage working capital within target objectives by Q2 2025. As part of working capital management, seek to collect on outstanding receivables and reduce AR impairments</v>
          </cell>
          <cell r="F479" t="str">
            <v>Manage working capital within target objectives by Q2 2025. As part of working capital management, seek to collect on outstanding receivables and reduce AR impairments</v>
          </cell>
          <cell r="G479">
            <v>0.2</v>
          </cell>
          <cell r="H479">
            <v>0.1</v>
          </cell>
          <cell r="I479">
            <v>1</v>
          </cell>
          <cell r="J479" t="str">
            <v>Conclude reconciliation of outstanding receivables of all customers monthly</v>
          </cell>
          <cell r="L479" t="str">
            <v>OLAREWAJU IBRAHEEM</v>
          </cell>
        </row>
        <row r="480">
          <cell r="A480">
            <v>34</v>
          </cell>
          <cell r="B480" t="str">
            <v>PAT00162</v>
          </cell>
          <cell r="C480" t="str">
            <v>AMARA OKEKE</v>
          </cell>
          <cell r="D480" t="str">
            <v xml:space="preserve">Credit Control Specialst </v>
          </cell>
          <cell r="F480" t="str">
            <v>Manage working capital within target objectives by Q2 2025. As part of working capital management, seek to collect on outstanding receivables and reduce AR impairments</v>
          </cell>
          <cell r="H480">
            <v>0.1</v>
          </cell>
          <cell r="I480">
            <v>1</v>
          </cell>
          <cell r="J480" t="str">
            <v xml:space="preserve">Ensure 100% accuracy in invoices submitted (Inc. Optimal billing for excess power  in favour of PAT ) for 100% of invoices / sites </v>
          </cell>
          <cell r="L480" t="str">
            <v>OLAREWAJU IBRAHEEM</v>
          </cell>
        </row>
        <row r="481">
          <cell r="A481">
            <v>34</v>
          </cell>
          <cell r="B481" t="str">
            <v>PAT00162</v>
          </cell>
          <cell r="C481" t="str">
            <v>AMARA OKEKE</v>
          </cell>
          <cell r="D481" t="str">
            <v xml:space="preserve">Credit Control Specialst </v>
          </cell>
          <cell r="E481" t="str">
            <v>Ensure PAT fully abides with financial and non-financial regulations</v>
          </cell>
          <cell r="F481" t="str">
            <v>Ensure PAT fully abides with financial and non-financial regulations</v>
          </cell>
          <cell r="G481">
            <v>0.1</v>
          </cell>
          <cell r="H481">
            <v>0.1</v>
          </cell>
          <cell r="I481" t="str">
            <v>≤April 2025</v>
          </cell>
          <cell r="J481" t="str">
            <v xml:space="preserve">Ensure PAT FY 2024 audited statements are finalized and submitted by April 2025 </v>
          </cell>
          <cell r="L481" t="str">
            <v>OLAREWAJU IBRAHEEM</v>
          </cell>
        </row>
        <row r="482">
          <cell r="A482">
            <v>34</v>
          </cell>
          <cell r="B482" t="str">
            <v>PAT00162</v>
          </cell>
          <cell r="C482" t="str">
            <v>AMARA OKEKE</v>
          </cell>
          <cell r="D482" t="str">
            <v xml:space="preserve">Credit Control Specialst </v>
          </cell>
          <cell r="E482" t="str">
            <v>Enhance Finance Team Performance, Career Growth, and Retention</v>
          </cell>
          <cell r="F482" t="str">
            <v>Enhance Finance Team Performance, Career Growth, and Retention</v>
          </cell>
          <cell r="G482">
            <v>0.05</v>
          </cell>
          <cell r="H482">
            <v>2.5000000000000001E-2</v>
          </cell>
          <cell r="J482" t="str">
            <v>Ensure all Finance staff have OKRs set and aligned with business goals by the end of April 2025.</v>
          </cell>
          <cell r="L482" t="str">
            <v>OLAREWAJU IBRAHEEM</v>
          </cell>
        </row>
        <row r="483">
          <cell r="A483">
            <v>34</v>
          </cell>
          <cell r="B483" t="str">
            <v>PAT00162</v>
          </cell>
          <cell r="C483" t="str">
            <v>AMARA OKEKE</v>
          </cell>
          <cell r="D483" t="str">
            <v xml:space="preserve">Credit Control Specialst </v>
          </cell>
          <cell r="F483" t="str">
            <v>Enhance Finance Team Performance, Career Growth, and Retention</v>
          </cell>
          <cell r="H483">
            <v>2.5000000000000001E-2</v>
          </cell>
          <cell r="I483" t="str">
            <v>&lt;5%</v>
          </cell>
          <cell r="J483" t="str">
            <v>Implement strategies to retain top Finance talent, ensuring attrition of senior personnel does not exceed 5%.</v>
          </cell>
          <cell r="L483" t="str">
            <v>OLAREWAJU IBRAHEEM</v>
          </cell>
        </row>
        <row r="484">
          <cell r="A484">
            <v>34</v>
          </cell>
          <cell r="B484" t="str">
            <v>PAT00162</v>
          </cell>
          <cell r="C484" t="str">
            <v>AMARA OKEKE</v>
          </cell>
          <cell r="D484" t="str">
            <v xml:space="preserve">Credit Control Specialst </v>
          </cell>
          <cell r="E484" t="str">
            <v>Maintain relationship with customers(ISPs) and handle disputes/discrepancies related to invoicing within 24hrs to 48hrs.</v>
          </cell>
          <cell r="F484" t="str">
            <v>Maintain relationship with customers(ISPs) and handle disputes/discrepancies related to invoicing within 24hrs to 48hrs.</v>
          </cell>
          <cell r="G484">
            <v>0.15</v>
          </cell>
          <cell r="H484">
            <v>0.15</v>
          </cell>
          <cell r="J484" t="str">
            <v>Maintain relationship with customers(ISPs) and handle disputes/discrepancies related to invoicing within 24hrs to 48hrs.</v>
          </cell>
          <cell r="L484" t="str">
            <v>OLAREWAJU IBRAHEEM</v>
          </cell>
        </row>
        <row r="485">
          <cell r="A485">
            <v>34</v>
          </cell>
          <cell r="B485" t="str">
            <v>PAT00162</v>
          </cell>
          <cell r="C485" t="str">
            <v>AMARA OKEKE</v>
          </cell>
          <cell r="D485" t="str">
            <v xml:space="preserve">Credit Control Specialst </v>
          </cell>
          <cell r="E485" t="str">
            <v>Proactively manage collection efforts, ensuring that customers are contacted regularly regarding overdue payments - bad debt &lt; 30% of ISP receivables</v>
          </cell>
          <cell r="F485" t="str">
            <v>Proactively manage collection efforts, ensuring that customers are contacted regularly regarding overdue payments - bad debt &lt; 30% of ISP receivables</v>
          </cell>
          <cell r="G485">
            <v>0.15</v>
          </cell>
          <cell r="H485">
            <v>0.15</v>
          </cell>
          <cell r="J485" t="str">
            <v>Proactively manage collection efforts, ensuring that customers are contacted regularly regarding overdue payments - bad debt &lt; 30% of ISP receivables</v>
          </cell>
          <cell r="L485" t="str">
            <v>OLAREWAJU IBRAHEEM</v>
          </cell>
        </row>
        <row r="486">
          <cell r="A486">
            <v>34</v>
          </cell>
          <cell r="B486" t="str">
            <v>PAT00162</v>
          </cell>
          <cell r="C486" t="str">
            <v>AMARA OKEKE</v>
          </cell>
          <cell r="D486" t="str">
            <v xml:space="preserve">Credit Control Specialst </v>
          </cell>
          <cell r="E486" t="str">
            <v>Negotiate payment plans or settlements for delinquent accounts when necessary - number of payments plan successfully negotiated and implemented</v>
          </cell>
          <cell r="F486" t="str">
            <v>Negotiate payment plans or settlements for delinquent accounts when necessary - number of payments plan successfully negotiated and implemented</v>
          </cell>
          <cell r="G486">
            <v>0.1</v>
          </cell>
          <cell r="H486">
            <v>0.1</v>
          </cell>
          <cell r="J486" t="str">
            <v>Negotiate payment plans or settlements for delinquent accounts when necessary - number of payments plan successfully negotiated and implemented</v>
          </cell>
          <cell r="L486" t="str">
            <v>OLAREWAJU IBRAHEEM</v>
          </cell>
        </row>
        <row r="487">
          <cell r="A487">
            <v>34</v>
          </cell>
          <cell r="B487" t="str">
            <v>PAT00162</v>
          </cell>
          <cell r="C487" t="str">
            <v>AMARA OKEKE</v>
          </cell>
          <cell r="D487" t="str">
            <v xml:space="preserve">Credit Control Specialst </v>
          </cell>
          <cell r="E487" t="str">
            <v>Achieve 100% payments are posted accurately and timely within 24hrs to 48hrs.</v>
          </cell>
          <cell r="F487" t="str">
            <v>Achieve 100% payments are posted accurately and timely within 24hrs to 48hrs.</v>
          </cell>
          <cell r="G487">
            <v>0.05</v>
          </cell>
          <cell r="H487">
            <v>0.05</v>
          </cell>
          <cell r="J487" t="str">
            <v>Achieve 100% payments are posted accurately and timely within 24hrs to 48hrs.</v>
          </cell>
          <cell r="L487" t="str">
            <v>OLAREWAJU IBRAHEEM</v>
          </cell>
        </row>
        <row r="488">
          <cell r="A488">
            <v>34</v>
          </cell>
          <cell r="B488" t="str">
            <v>PAT00162</v>
          </cell>
          <cell r="C488" t="str">
            <v>AMARA OKEKE</v>
          </cell>
          <cell r="D488" t="str">
            <v xml:space="preserve">Credit Control Specialst </v>
          </cell>
          <cell r="E488" t="str">
            <v xml:space="preserve">Analyze payment trends and provide insights to management to improve cash flow </v>
          </cell>
          <cell r="F488" t="str">
            <v xml:space="preserve">Analyze payment trends and provide insights to management to improve cash flow </v>
          </cell>
          <cell r="G488">
            <v>0.05</v>
          </cell>
          <cell r="H488">
            <v>0.05</v>
          </cell>
          <cell r="J488" t="str">
            <v xml:space="preserve">Analyze payment trends and provide insights to management to improve cash flow </v>
          </cell>
          <cell r="L488" t="str">
            <v>OLAREWAJU IBRAHEEM</v>
          </cell>
        </row>
        <row r="489">
          <cell r="A489">
            <v>35</v>
          </cell>
          <cell r="B489" t="str">
            <v>PAT00144</v>
          </cell>
          <cell r="C489" t="str">
            <v>ZAINAB KEKERE-EKUN</v>
          </cell>
          <cell r="D489" t="str">
            <v>Payable Specialist</v>
          </cell>
          <cell r="E489" t="str">
            <v>Seek opportunities to optimize ISM and site-related direct costs</v>
          </cell>
          <cell r="F489" t="str">
            <v>Seek opportunities to optimize ISM and site-related direct costs</v>
          </cell>
          <cell r="G489">
            <v>0.05</v>
          </cell>
          <cell r="H489">
            <v>0.05</v>
          </cell>
          <cell r="I489">
            <v>1</v>
          </cell>
          <cell r="J489" t="str">
            <v>Verify and apply 100% of approved SLA breach penalties to MS vendors invoices monthly, in line with contractual terms and Operations' breach reports.</v>
          </cell>
          <cell r="L489" t="str">
            <v>OLAREWAJU IBRAHEEM</v>
          </cell>
        </row>
        <row r="490">
          <cell r="A490">
            <v>35</v>
          </cell>
          <cell r="B490" t="str">
            <v>PAT00144</v>
          </cell>
          <cell r="C490" t="str">
            <v>ZAINAB KEKERE-EKUN</v>
          </cell>
          <cell r="D490" t="str">
            <v>Payable Specialist</v>
          </cell>
          <cell r="E490" t="str">
            <v>Seek to reduce cost of sales</v>
          </cell>
          <cell r="F490" t="str">
            <v>Seek to reduce cost of sales</v>
          </cell>
          <cell r="G490">
            <v>0.05</v>
          </cell>
          <cell r="H490">
            <v>0.05</v>
          </cell>
          <cell r="I490">
            <v>0.85</v>
          </cell>
          <cell r="J490" t="str">
            <v>MS Vendor SLA - Ensure penalties applied to ISMs for all breaches in SLAs Achieve high ops  suppliers (non diesel) satisfaction with 85% satisfaction rate
 (measured through surveys and interviews)</v>
          </cell>
          <cell r="L490" t="str">
            <v>OLAREWAJU IBRAHEEM</v>
          </cell>
        </row>
        <row r="491">
          <cell r="A491">
            <v>35</v>
          </cell>
          <cell r="B491" t="str">
            <v>PAT00144</v>
          </cell>
          <cell r="C491" t="str">
            <v>ZAINAB KEKERE-EKUN</v>
          </cell>
          <cell r="D491" t="str">
            <v>Payable Specialist</v>
          </cell>
          <cell r="E491" t="str">
            <v>Ensure PAT fully abides with financial and non-financial regulations</v>
          </cell>
          <cell r="F491" t="str">
            <v>Ensure PAT fully abides with financial and non-financial regulations</v>
          </cell>
          <cell r="G491">
            <v>0.1</v>
          </cell>
          <cell r="H491">
            <v>0.1</v>
          </cell>
          <cell r="I491" t="str">
            <v>≤April 2025</v>
          </cell>
          <cell r="J491" t="str">
            <v xml:space="preserve">Ensure PAT FY 2024 audited statements are finalized and submitted by April 2025 </v>
          </cell>
          <cell r="L491" t="str">
            <v>OLAREWAJU IBRAHEEM</v>
          </cell>
        </row>
        <row r="492">
          <cell r="A492">
            <v>35</v>
          </cell>
          <cell r="B492" t="str">
            <v>PAT00144</v>
          </cell>
          <cell r="C492" t="str">
            <v>ZAINAB KEKERE-EKUN</v>
          </cell>
          <cell r="D492" t="str">
            <v>Payable Specialist</v>
          </cell>
          <cell r="E492" t="str">
            <v>Ensure PAT fully abides with financial and non-financial regulations</v>
          </cell>
          <cell r="F492" t="str">
            <v>Ensure PAT fully abides with financial and non-financial regulations</v>
          </cell>
          <cell r="G492">
            <v>0.1</v>
          </cell>
          <cell r="H492">
            <v>0.05</v>
          </cell>
          <cell r="J492" t="str">
            <v>Ensure single action payments and not lumped payments are made to staff and contractors to avoid ambiguity and promote transparency</v>
          </cell>
          <cell r="L492" t="str">
            <v>OLAREWAJU IBRAHEEM</v>
          </cell>
        </row>
        <row r="493">
          <cell r="A493">
            <v>35</v>
          </cell>
          <cell r="B493" t="str">
            <v>PAT00144</v>
          </cell>
          <cell r="C493" t="str">
            <v>ZAINAB KEKERE-EKUN</v>
          </cell>
          <cell r="D493" t="str">
            <v>Payable Specialist</v>
          </cell>
          <cell r="F493" t="str">
            <v>Ensure PAT fully abides with financial and non-financial regulations</v>
          </cell>
          <cell r="H493">
            <v>0.05</v>
          </cell>
          <cell r="J493" t="str">
            <v xml:space="preserve">Ensure that the monthly remittance of VAT, consumption taxes and WHT are done by the last day of the new month to avoid penalties for the business. </v>
          </cell>
          <cell r="L493" t="str">
            <v>OLAREWAJU IBRAHEEM</v>
          </cell>
        </row>
        <row r="494">
          <cell r="A494">
            <v>35</v>
          </cell>
          <cell r="B494" t="str">
            <v>PAT00144</v>
          </cell>
          <cell r="C494" t="str">
            <v>ZAINAB KEKERE-EKUN</v>
          </cell>
          <cell r="D494" t="str">
            <v>Payable Specialist</v>
          </cell>
          <cell r="E494" t="str">
            <v>Enhance Finance Team Performance, Career Growth, and Retention</v>
          </cell>
          <cell r="F494" t="str">
            <v>Enhance Finance Team Performance, Career Growth, and Retention</v>
          </cell>
          <cell r="G494">
            <v>0.05</v>
          </cell>
          <cell r="H494">
            <v>2.5000000000000001E-2</v>
          </cell>
          <cell r="J494" t="str">
            <v>Ensure all Finance staff have OKRs set and aligned with business goals by the end of April 2025.</v>
          </cell>
          <cell r="L494" t="str">
            <v>OLAREWAJU IBRAHEEM</v>
          </cell>
        </row>
        <row r="495">
          <cell r="A495">
            <v>35</v>
          </cell>
          <cell r="B495" t="str">
            <v>PAT00144</v>
          </cell>
          <cell r="C495" t="str">
            <v>ZAINAB KEKERE-EKUN</v>
          </cell>
          <cell r="D495" t="str">
            <v>Payable Specialist</v>
          </cell>
          <cell r="F495" t="str">
            <v>Enhance Finance Team Performance, Career Growth, and Retention</v>
          </cell>
          <cell r="H495">
            <v>2.5000000000000001E-2</v>
          </cell>
          <cell r="I495" t="str">
            <v>&lt;5%</v>
          </cell>
          <cell r="J495" t="str">
            <v>Implement strategies to retain top Finance talent, ensuring attrition of senior personnel does not exceed 5%.</v>
          </cell>
          <cell r="L495" t="str">
            <v>OLAREWAJU IBRAHEEM</v>
          </cell>
        </row>
        <row r="496">
          <cell r="A496">
            <v>35</v>
          </cell>
          <cell r="B496" t="str">
            <v>PAT00144</v>
          </cell>
          <cell r="C496" t="str">
            <v>ZAINAB KEKERE-EKUN</v>
          </cell>
          <cell r="D496" t="str">
            <v>Payable Specialist</v>
          </cell>
          <cell r="E496" t="str">
            <v>GL POSTING: Achieve 100% classification of all payment vouchers on the respective GL by the 2nd of the following month.</v>
          </cell>
          <cell r="F496" t="str">
            <v>GL POSTING: Achieve 100% classification of all payment vouchers on the respective GL by the 2nd of the following month.</v>
          </cell>
          <cell r="G496">
            <v>0.1</v>
          </cell>
          <cell r="H496">
            <v>0.1</v>
          </cell>
          <cell r="J496" t="str">
            <v>GL POSTING: Achieve 100% classification of all payment vouchers on the respective GL by the 2nd of the following month.</v>
          </cell>
          <cell r="L496" t="str">
            <v>OLAREWAJU IBRAHEEM</v>
          </cell>
        </row>
        <row r="497">
          <cell r="A497">
            <v>35</v>
          </cell>
          <cell r="B497" t="str">
            <v>PAT00144</v>
          </cell>
          <cell r="C497" t="str">
            <v>ZAINAB KEKERE-EKUN</v>
          </cell>
          <cell r="D497" t="str">
            <v>Payable Specialist</v>
          </cell>
          <cell r="E497" t="str">
            <v>RECONCILIATION: Achieve 100% vendor account reconciliation with PAT payable within 48hrs of new payment.</v>
          </cell>
          <cell r="F497" t="str">
            <v>RECONCILIATION: Achieve 100% vendor account reconciliation with PAT payable within 48hrs of new payment.</v>
          </cell>
          <cell r="G497">
            <v>0.1</v>
          </cell>
          <cell r="H497">
            <v>0.1</v>
          </cell>
          <cell r="J497" t="str">
            <v>RECONCILIATION: Achieve 100% vendor account reconciliation with PAT payable within 48hrs of new payment.</v>
          </cell>
          <cell r="L497" t="str">
            <v>OLAREWAJU IBRAHEEM</v>
          </cell>
        </row>
        <row r="498">
          <cell r="A498">
            <v>35</v>
          </cell>
          <cell r="B498" t="str">
            <v>PAT00144</v>
          </cell>
          <cell r="C498" t="str">
            <v>ZAINAB KEKERE-EKUN</v>
          </cell>
          <cell r="D498" t="str">
            <v>Payable Specialist</v>
          </cell>
          <cell r="E498" t="str">
            <v>INVOICE &amp; PAYMENT ERROR RATE: Achieve 100% error free rate in all of the invoices submitted and accepted by finance, Achieve 0% duplicate payment of invoice from 100% payment made.</v>
          </cell>
          <cell r="F498" t="str">
            <v>INVOICE &amp; PAYMENT ERROR RATE: Achieve 100% error free rate in all of the invoices submitted and accepted by finance, Achieve 0% duplicate payment of invoice from 100% payment made.</v>
          </cell>
          <cell r="G498">
            <v>0.1</v>
          </cell>
          <cell r="H498">
            <v>0.1</v>
          </cell>
          <cell r="J498" t="str">
            <v>INVOICE &amp; PAYMENT ERROR RATE: Achieve 100% error free rate in all of the invoices submitted and accepted by finance, Achieve 0% duplicate payment of invoice from 100% payment made.</v>
          </cell>
          <cell r="L498" t="str">
            <v>OLAREWAJU IBRAHEEM</v>
          </cell>
        </row>
        <row r="499">
          <cell r="A499">
            <v>35</v>
          </cell>
          <cell r="B499" t="str">
            <v>PAT00144</v>
          </cell>
          <cell r="C499" t="str">
            <v>ZAINAB KEKERE-EKUN</v>
          </cell>
          <cell r="D499" t="str">
            <v>Payable Specialist</v>
          </cell>
          <cell r="E499" t="str">
            <v>INVOICE PROCESSING TIME: Average time it takes to process an invoice from receipt.  Matching of all invoice and purchase order on Vendors account before transfer to treasury for payment within 24hrs of payment memo receipt.</v>
          </cell>
          <cell r="F499" t="str">
            <v>INVOICE PROCESSING TIME: Average time it takes to process an invoice from receipt.  Matching of all invoice and purchase order on Vendors account before transfer to treasury for payment within 24hrs of payment memo receipt.</v>
          </cell>
          <cell r="G499">
            <v>0.05</v>
          </cell>
          <cell r="H499">
            <v>0.05</v>
          </cell>
          <cell r="J499" t="str">
            <v>INVOICE PROCESSING TIME: Average time it takes to process an invoice from receipt.  Matching of all invoice and purchase order on Vendors account before transfer to treasury for payment within 24hrs of payment memo receipt.</v>
          </cell>
          <cell r="L499" t="str">
            <v>OLAREWAJU IBRAHEEM</v>
          </cell>
        </row>
        <row r="500">
          <cell r="A500">
            <v>35</v>
          </cell>
          <cell r="B500" t="str">
            <v>PAT00144</v>
          </cell>
          <cell r="C500" t="str">
            <v>ZAINAB KEKERE-EKUN</v>
          </cell>
          <cell r="D500" t="str">
            <v>Payable Specialist</v>
          </cell>
          <cell r="E500" t="str">
            <v>PAYABLE SCHEDULE - Achieve 100% all Payable schedules are accurate and reconciled as per Trial Balance.</v>
          </cell>
          <cell r="F500" t="str">
            <v>PAYABLE SCHEDULE - Achieve 100% all Payable schedules are accurate and reconciled as per Trial Balance.</v>
          </cell>
          <cell r="G500">
            <v>0.05</v>
          </cell>
          <cell r="H500">
            <v>0.05</v>
          </cell>
          <cell r="J500" t="str">
            <v>PAYABLE SCHEDULE - Achieve 100% all Payable schedules are accurate and reconciled as per Trial Balance.</v>
          </cell>
          <cell r="L500" t="str">
            <v>OLAREWAJU IBRAHEEM</v>
          </cell>
        </row>
        <row r="501">
          <cell r="A501">
            <v>35</v>
          </cell>
          <cell r="B501" t="str">
            <v>PAT00144</v>
          </cell>
          <cell r="C501" t="str">
            <v>ZAINAB KEKERE-EKUN</v>
          </cell>
          <cell r="D501" t="str">
            <v>Payable Specialist</v>
          </cell>
          <cell r="E501" t="str">
            <v>COMPLIANCE TO REGULATIONS: Ensure 100% of all invoices are subjected to VAT and WHT rates as applicable to job done or services rendered</v>
          </cell>
          <cell r="F501" t="str">
            <v>COMPLIANCE TO REGULATIONS: Ensure 100% of all invoices are subjected to VAT and WHT rates as applicable to job done or services rendered</v>
          </cell>
          <cell r="G501">
            <v>0.1</v>
          </cell>
          <cell r="H501">
            <v>0.1</v>
          </cell>
          <cell r="J501" t="str">
            <v>COMPLIANCE TO REGULATIONS: Ensure 100% of all invoices are subjected to VAT and WHT rates as applicable to job done or services rendered</v>
          </cell>
          <cell r="L501" t="str">
            <v>OLAREWAJU IBRAHEEM</v>
          </cell>
        </row>
        <row r="502">
          <cell r="A502">
            <v>35</v>
          </cell>
          <cell r="B502" t="str">
            <v>PAT00144</v>
          </cell>
          <cell r="C502" t="str">
            <v>ZAINAB KEKERE-EKUN</v>
          </cell>
          <cell r="D502" t="str">
            <v>Payable Specialist</v>
          </cell>
          <cell r="E502" t="str">
            <v>COST OF SALES: Achieve 100% complete recognition of cost of sales on SAP by 3rd of each month.</v>
          </cell>
          <cell r="F502" t="str">
            <v>COST OF SALES: Achieve 100% complete recognition of cost of sales on SAP by 3rd of each month.</v>
          </cell>
          <cell r="G502">
            <v>0.1</v>
          </cell>
          <cell r="H502">
            <v>0.1</v>
          </cell>
          <cell r="J502" t="str">
            <v>COST OF SALES: Achieve 100% complete recognition of cost of sales on SAP by 3rd of each month.</v>
          </cell>
          <cell r="L502" t="str">
            <v>OLAREWAJU IBRAHEEM</v>
          </cell>
        </row>
        <row r="503">
          <cell r="A503">
            <v>35</v>
          </cell>
          <cell r="B503" t="str">
            <v>PAT00144</v>
          </cell>
          <cell r="C503" t="str">
            <v>ZAINAB KEKERE-EKUN</v>
          </cell>
          <cell r="D503" t="str">
            <v>Payable Specialist</v>
          </cell>
          <cell r="E503" t="str">
            <v>REPORTING: Achieve accuracy of AP report alongside DPO Days Payable Outstandings.</v>
          </cell>
          <cell r="F503" t="str">
            <v>REPORTING: Achieve accuracy of AP report alongside DPO Days Payable Outstandings.</v>
          </cell>
          <cell r="G503">
            <v>0.05</v>
          </cell>
          <cell r="H503">
            <v>0.05</v>
          </cell>
          <cell r="J503" t="str">
            <v>REPORTING: Achieve accuracy of AP report alongside DPO Days Payable Outstandings.</v>
          </cell>
          <cell r="L503" t="str">
            <v>OLAREWAJU IBRAHEEM</v>
          </cell>
        </row>
        <row r="504">
          <cell r="A504">
            <v>36</v>
          </cell>
          <cell r="B504" t="str">
            <v>PAT00169</v>
          </cell>
          <cell r="C504" t="str">
            <v>OLAREWAJU IBRAHEEM</v>
          </cell>
          <cell r="D504" t="str">
            <v>Finance Director</v>
          </cell>
          <cell r="E504" t="str">
            <v>Drive revenue and gross profit through contracting and value assurance</v>
          </cell>
          <cell r="F504" t="str">
            <v>Drive revenue and gross profit through contracting and value assurance</v>
          </cell>
          <cell r="G504">
            <v>0.15</v>
          </cell>
          <cell r="H504">
            <v>0.02</v>
          </cell>
          <cell r="I504" t="str">
            <v>&gt;20%</v>
          </cell>
          <cell r="J504" t="str">
            <v>Work closely with Commercial team and CEO to achieve an improvement in Airtel contract terms (minimum uplift of 20%)</v>
          </cell>
          <cell r="L504" t="str">
            <v>OLADIPO BADRU</v>
          </cell>
        </row>
        <row r="505">
          <cell r="A505">
            <v>36</v>
          </cell>
          <cell r="B505" t="str">
            <v>PAT00169</v>
          </cell>
          <cell r="C505" t="str">
            <v>OLAREWAJU IBRAHEEM</v>
          </cell>
          <cell r="D505" t="str">
            <v>Finance Director</v>
          </cell>
          <cell r="F505" t="str">
            <v>Drive revenue and gross profit through contracting and value assurance</v>
          </cell>
          <cell r="H505">
            <v>0.03</v>
          </cell>
          <cell r="I505">
            <v>0</v>
          </cell>
          <cell r="J505" t="str">
            <v>Implement financial tracking to ensure zero revenue leakage from new contract terms.</v>
          </cell>
          <cell r="L505" t="str">
            <v>OLADIPO BADRU</v>
          </cell>
        </row>
        <row r="506">
          <cell r="A506">
            <v>36</v>
          </cell>
          <cell r="B506" t="str">
            <v>PAT00169</v>
          </cell>
          <cell r="C506" t="str">
            <v>OLAREWAJU IBRAHEEM</v>
          </cell>
          <cell r="D506" t="str">
            <v>Finance Director</v>
          </cell>
          <cell r="F506" t="str">
            <v>Drive revenue and gross profit through contracting and value assurance</v>
          </cell>
          <cell r="H506">
            <v>0.03</v>
          </cell>
          <cell r="I506">
            <v>1</v>
          </cell>
          <cell r="J506" t="str">
            <v>Validate 100% of invoices within 3 working days of receipt to ensure billing accuracy, completeness, and compliance with financial standards.</v>
          </cell>
          <cell r="L506" t="str">
            <v>OLADIPO BADRU</v>
          </cell>
        </row>
        <row r="507">
          <cell r="A507">
            <v>36</v>
          </cell>
          <cell r="B507" t="str">
            <v>PAT00169</v>
          </cell>
          <cell r="C507" t="str">
            <v>OLAREWAJU IBRAHEEM</v>
          </cell>
          <cell r="D507" t="str">
            <v>Finance Director</v>
          </cell>
          <cell r="F507" t="str">
            <v>Drive revenue and gross profit through contracting and value assurance</v>
          </cell>
          <cell r="H507">
            <v>0.02</v>
          </cell>
          <cell r="I507">
            <v>1</v>
          </cell>
          <cell r="J507" t="str">
            <v>Reconcile 100% of excess power charges and collections as per the contract, ensuring that optimal billing values are reflected in financial records in favour of PAT.</v>
          </cell>
          <cell r="L507" t="str">
            <v>OLADIPO BADRU</v>
          </cell>
        </row>
        <row r="508">
          <cell r="A508">
            <v>36</v>
          </cell>
          <cell r="B508" t="str">
            <v>PAT00169</v>
          </cell>
          <cell r="C508" t="str">
            <v>OLAREWAJU IBRAHEEM</v>
          </cell>
          <cell r="D508" t="str">
            <v>Finance Director</v>
          </cell>
          <cell r="F508" t="str">
            <v>Drive revenue and gross profit through contracting and value assurance</v>
          </cell>
          <cell r="H508">
            <v>0.03</v>
          </cell>
          <cell r="J508" t="str">
            <v>Conduct quarterly revenue assurance audits to detect and recover lost revenue.</v>
          </cell>
          <cell r="L508" t="str">
            <v>OLADIPO BADRU</v>
          </cell>
        </row>
        <row r="509">
          <cell r="A509">
            <v>36</v>
          </cell>
          <cell r="B509" t="str">
            <v>PAT00169</v>
          </cell>
          <cell r="C509" t="str">
            <v>OLAREWAJU IBRAHEEM</v>
          </cell>
          <cell r="D509" t="str">
            <v>Finance Director</v>
          </cell>
          <cell r="F509" t="str">
            <v>Drive revenue and gross profit through contracting and value assurance</v>
          </cell>
          <cell r="H509">
            <v>0.02</v>
          </cell>
          <cell r="I509">
            <v>1</v>
          </cell>
          <cell r="J509" t="str">
            <v>Ensure 100% budget availability and timely disbursement for the procurement, deployment, and installation of batteries across 150 targeted sites and diesel generators in line with budget</v>
          </cell>
          <cell r="L509" t="str">
            <v>OLADIPO BADRU</v>
          </cell>
        </row>
        <row r="510">
          <cell r="A510">
            <v>36</v>
          </cell>
          <cell r="B510" t="str">
            <v>PAT00169</v>
          </cell>
          <cell r="C510" t="str">
            <v>OLAREWAJU IBRAHEEM</v>
          </cell>
          <cell r="D510" t="str">
            <v>Finance Director</v>
          </cell>
          <cell r="E510" t="str">
            <v>Seek opportunities to optimize ISM and site-related direct costs</v>
          </cell>
          <cell r="F510" t="str">
            <v>Seek opportunities to optimize ISM and site-related direct costs</v>
          </cell>
          <cell r="G510">
            <v>0.1</v>
          </cell>
          <cell r="H510">
            <v>0.05</v>
          </cell>
          <cell r="I510">
            <v>1</v>
          </cell>
          <cell r="J510" t="str">
            <v>Verify and apply 100% of approved SLA breach penalties to MS vendors invoices monthly, in line with contractual terms and Operations' breach reports.</v>
          </cell>
          <cell r="L510" t="str">
            <v>OLADIPO BADRU</v>
          </cell>
        </row>
        <row r="511">
          <cell r="A511">
            <v>36</v>
          </cell>
          <cell r="B511" t="str">
            <v>PAT00169</v>
          </cell>
          <cell r="C511" t="str">
            <v>OLAREWAJU IBRAHEEM</v>
          </cell>
          <cell r="D511" t="str">
            <v>Finance Director</v>
          </cell>
          <cell r="F511" t="str">
            <v>Seek opportunities to optimize ISM and site-related direct costs</v>
          </cell>
          <cell r="H511">
            <v>0.05</v>
          </cell>
          <cell r="I511">
            <v>1</v>
          </cell>
          <cell r="J511" t="str">
            <v>Ensure 100% correct deductions of SLA penalties before processing MS vendors' payments, with validation against signed-off breach documentation.</v>
          </cell>
          <cell r="L511" t="str">
            <v>OLADIPO BADRU</v>
          </cell>
        </row>
        <row r="512">
          <cell r="A512">
            <v>36</v>
          </cell>
          <cell r="B512" t="str">
            <v>PAT00169</v>
          </cell>
          <cell r="C512" t="str">
            <v>OLAREWAJU IBRAHEEM</v>
          </cell>
          <cell r="D512" t="str">
            <v>Finance Director</v>
          </cell>
          <cell r="E512" t="str">
            <v>Seek to ensure business has optimal capital structure and a reduced net financing costs</v>
          </cell>
          <cell r="F512" t="str">
            <v>Seek to ensure business has optimal capital structure and a reduced net financing costs</v>
          </cell>
          <cell r="G512">
            <v>0.1</v>
          </cell>
          <cell r="H512">
            <v>0.05</v>
          </cell>
          <cell r="I512" t="str">
            <v>RMB/BOI</v>
          </cell>
          <cell r="J512" t="str">
            <v>Conclude RMB loan by Q2 2025 and conclude BOI loan by Q3 2025 to reduce average cost of debt</v>
          </cell>
          <cell r="L512" t="str">
            <v>OLADIPO BADRU</v>
          </cell>
        </row>
        <row r="513">
          <cell r="A513">
            <v>36</v>
          </cell>
          <cell r="B513" t="str">
            <v>PAT00169</v>
          </cell>
          <cell r="C513" t="str">
            <v>OLAREWAJU IBRAHEEM</v>
          </cell>
          <cell r="D513" t="str">
            <v>Finance Director</v>
          </cell>
          <cell r="F513" t="str">
            <v>Seek to ensure business has optimal capital structure and a reduced net financing costs</v>
          </cell>
          <cell r="H513">
            <v>2.5000000000000001E-2</v>
          </cell>
          <cell r="J513" t="str">
            <v>Continiously seek to optimize capital structure by reducing overall cost of debt and managing cash on hand to generate as much interest income whenever possible</v>
          </cell>
          <cell r="L513" t="str">
            <v>OLADIPO BADRU</v>
          </cell>
        </row>
        <row r="514">
          <cell r="A514">
            <v>36</v>
          </cell>
          <cell r="B514" t="str">
            <v>PAT00169</v>
          </cell>
          <cell r="C514" t="str">
            <v>OLAREWAJU IBRAHEEM</v>
          </cell>
          <cell r="D514" t="str">
            <v>Finance Director</v>
          </cell>
          <cell r="F514" t="str">
            <v>Seek to ensure business has optimal capital structure and a reduced net financing costs</v>
          </cell>
          <cell r="H514">
            <v>2.5000000000000001E-2</v>
          </cell>
          <cell r="J514" t="str">
            <v>Substantially reduce use of high cost overdraft facilities to reduce overall net financing costs</v>
          </cell>
          <cell r="L514" t="str">
            <v>OLADIPO BADRU</v>
          </cell>
        </row>
        <row r="515">
          <cell r="A515">
            <v>36</v>
          </cell>
          <cell r="B515" t="str">
            <v>PAT00169</v>
          </cell>
          <cell r="C515" t="str">
            <v>OLAREWAJU IBRAHEEM</v>
          </cell>
          <cell r="D515" t="str">
            <v>Finance Director</v>
          </cell>
          <cell r="E515" t="str">
            <v>Seek to reduce cost of sales</v>
          </cell>
          <cell r="F515" t="str">
            <v>Seek to reduce cost of sales</v>
          </cell>
          <cell r="G515">
            <v>0.2</v>
          </cell>
          <cell r="H515">
            <v>0.1</v>
          </cell>
          <cell r="J515" t="str">
            <v xml:space="preserve">Work closely with Operations team to ensure no diesel outages to sites </v>
          </cell>
          <cell r="L515" t="str">
            <v>OLADIPO BADRU</v>
          </cell>
        </row>
        <row r="516">
          <cell r="A516">
            <v>36</v>
          </cell>
          <cell r="B516" t="str">
            <v>PAT00169</v>
          </cell>
          <cell r="C516" t="str">
            <v>OLAREWAJU IBRAHEEM</v>
          </cell>
          <cell r="D516" t="str">
            <v>Finance Director</v>
          </cell>
          <cell r="F516" t="str">
            <v>Seek to reduce cost of sales</v>
          </cell>
          <cell r="H516">
            <v>0.05</v>
          </cell>
          <cell r="I516">
            <v>0.85</v>
          </cell>
          <cell r="J516" t="str">
            <v xml:space="preserve"> Achieve high diesel  supplier satisfaction with 85% satisfaction rate
 (measured through surveys and interviews)</v>
          </cell>
          <cell r="L516" t="str">
            <v>OLADIPO BADRU</v>
          </cell>
        </row>
        <row r="517">
          <cell r="A517">
            <v>36</v>
          </cell>
          <cell r="B517" t="str">
            <v>PAT00169</v>
          </cell>
          <cell r="C517" t="str">
            <v>OLAREWAJU IBRAHEEM</v>
          </cell>
          <cell r="D517" t="str">
            <v>Finance Director</v>
          </cell>
          <cell r="F517" t="str">
            <v>Seek to reduce cost of sales</v>
          </cell>
          <cell r="H517">
            <v>0.05</v>
          </cell>
          <cell r="I517">
            <v>0.85</v>
          </cell>
          <cell r="J517" t="str">
            <v>MS Vendor SLA - Ensure penalties applied to ISMs for all breaches in SLAs Achieve high ops  suppliers (non diesel) satisfaction with 85% satisfaction rate
 (measured through surveys and interviews)</v>
          </cell>
          <cell r="L517" t="str">
            <v>OLADIPO BADRU</v>
          </cell>
        </row>
        <row r="518">
          <cell r="A518">
            <v>36</v>
          </cell>
          <cell r="B518" t="str">
            <v>PAT00169</v>
          </cell>
          <cell r="C518" t="str">
            <v>OLAREWAJU IBRAHEEM</v>
          </cell>
          <cell r="D518" t="str">
            <v>Finance Director</v>
          </cell>
          <cell r="E518" t="str">
            <v>Manage working capital within target objectives by Q2 2025. As part of working capital management, seek to collect on outstanding receivables and reduce AR impairments</v>
          </cell>
          <cell r="F518" t="str">
            <v>Manage working capital within target objectives by Q2 2025. As part of working capital management, seek to collect on outstanding receivables and reduce AR impairments</v>
          </cell>
          <cell r="G518">
            <v>0.1</v>
          </cell>
          <cell r="H518">
            <v>0.02</v>
          </cell>
          <cell r="I518">
            <v>1</v>
          </cell>
          <cell r="J518" t="str">
            <v>Conclude reconciliation of outstanding receivables of all customers – Q3 2025</v>
          </cell>
          <cell r="L518" t="str">
            <v>OLADIPO BADRU</v>
          </cell>
        </row>
        <row r="519">
          <cell r="A519">
            <v>36</v>
          </cell>
          <cell r="B519" t="str">
            <v>PAT00169</v>
          </cell>
          <cell r="C519" t="str">
            <v>OLAREWAJU IBRAHEEM</v>
          </cell>
          <cell r="D519" t="str">
            <v>Finance Director</v>
          </cell>
          <cell r="F519" t="str">
            <v>Manage working capital within target objectives by Q2 2025. As part of working capital management, seek to collect on outstanding receivables and reduce AR impairments</v>
          </cell>
          <cell r="H519">
            <v>0</v>
          </cell>
          <cell r="I519">
            <v>1</v>
          </cell>
          <cell r="J519" t="str">
            <v xml:space="preserve">Ensure 100% accuracy in invoices submitted (Inc. Optimal billing for excess power  in favour of PAT ) for 100% of invoices / sites </v>
          </cell>
          <cell r="L519" t="str">
            <v>OLADIPO BADRU</v>
          </cell>
        </row>
        <row r="520">
          <cell r="A520">
            <v>36</v>
          </cell>
          <cell r="B520" t="str">
            <v>PAT00169</v>
          </cell>
          <cell r="C520" t="str">
            <v>OLAREWAJU IBRAHEEM</v>
          </cell>
          <cell r="D520" t="str">
            <v>Finance Director</v>
          </cell>
          <cell r="F520" t="str">
            <v>Manage working capital within target objectives by Q2 2025. As part of working capital management, seek to collect on outstanding receivables and reduce AR impairments</v>
          </cell>
          <cell r="H520">
            <v>0.02</v>
          </cell>
          <cell r="I520" t="str">
            <v>&lt;Mn 4,700</v>
          </cell>
          <cell r="J520" t="str">
            <v xml:space="preserve"> Ensure maintenance capex in line with budget and does not exceed NGN Mn 4,700</v>
          </cell>
          <cell r="L520" t="str">
            <v>OLADIPO BADRU</v>
          </cell>
        </row>
        <row r="521">
          <cell r="A521">
            <v>36</v>
          </cell>
          <cell r="B521" t="str">
            <v>PAT00169</v>
          </cell>
          <cell r="C521" t="str">
            <v>OLAREWAJU IBRAHEEM</v>
          </cell>
          <cell r="D521" t="str">
            <v>Finance Director</v>
          </cell>
          <cell r="F521" t="str">
            <v>Manage working capital within target objectives by Q2 2025. As part of working capital management, seek to collect on outstanding receivables and reduce AR impairments</v>
          </cell>
          <cell r="H521">
            <v>0.02</v>
          </cell>
          <cell r="J521" t="str">
            <v>Saving from Fuel - Grid Sites - Ensure grid connectivity is operational for all sites connected to the grid</v>
          </cell>
          <cell r="L521" t="str">
            <v>OLADIPO BADRU</v>
          </cell>
        </row>
        <row r="522">
          <cell r="A522">
            <v>36</v>
          </cell>
          <cell r="B522" t="str">
            <v>PAT00169</v>
          </cell>
          <cell r="C522" t="str">
            <v>OLAREWAJU IBRAHEEM</v>
          </cell>
          <cell r="D522" t="str">
            <v>Finance Director</v>
          </cell>
          <cell r="F522" t="str">
            <v>Manage working capital within target objectives by Q2 2025. As part of working capital management, seek to collect on outstanding receivables and reduce AR impairments</v>
          </cell>
          <cell r="H522">
            <v>0.02</v>
          </cell>
          <cell r="J522" t="str">
            <v>OPEX saving from CNG operated Sites (Define How many sites or Total Opex savings expected)</v>
          </cell>
          <cell r="L522" t="str">
            <v>OLADIPO BADRU</v>
          </cell>
        </row>
        <row r="523">
          <cell r="A523">
            <v>36</v>
          </cell>
          <cell r="B523" t="str">
            <v>PAT00169</v>
          </cell>
          <cell r="C523" t="str">
            <v>OLAREWAJU IBRAHEEM</v>
          </cell>
          <cell r="D523" t="str">
            <v>Finance Director</v>
          </cell>
          <cell r="F523" t="str">
            <v>Manage working capital within target objectives by Q2 2025. As part of working capital management, seek to collect on outstanding receivables and reduce AR impairments</v>
          </cell>
          <cell r="H523">
            <v>0.02</v>
          </cell>
          <cell r="I523">
            <v>150</v>
          </cell>
          <cell r="J523" t="str">
            <v>Saving from Fuel - DG-Battery Hybrid Sites - Connect 150 Sites</v>
          </cell>
          <cell r="L523" t="str">
            <v>OLADIPO BADRU</v>
          </cell>
        </row>
        <row r="524">
          <cell r="A524">
            <v>36</v>
          </cell>
          <cell r="B524" t="str">
            <v>PAT00169</v>
          </cell>
          <cell r="C524" t="str">
            <v>OLAREWAJU IBRAHEEM</v>
          </cell>
          <cell r="D524" t="str">
            <v>Finance Director</v>
          </cell>
          <cell r="E524" t="str">
            <v>Ensure capex spend in line with company needs</v>
          </cell>
          <cell r="F524" t="str">
            <v>Ensure capex spend in line with company needs</v>
          </cell>
          <cell r="G524">
            <v>0.15</v>
          </cell>
          <cell r="H524">
            <v>0.05</v>
          </cell>
          <cell r="I524">
            <v>1</v>
          </cell>
          <cell r="J524" t="str">
            <v>Ensure 100% alignment of capex spending with approved strategic plans.</v>
          </cell>
          <cell r="L524" t="str">
            <v>OLADIPO BADRU</v>
          </cell>
        </row>
        <row r="525">
          <cell r="A525">
            <v>36</v>
          </cell>
          <cell r="B525" t="str">
            <v>PAT00169</v>
          </cell>
          <cell r="C525" t="str">
            <v>OLAREWAJU IBRAHEEM</v>
          </cell>
          <cell r="D525" t="str">
            <v>Finance Director</v>
          </cell>
          <cell r="F525" t="str">
            <v>Ensure capex spend in line with company needs</v>
          </cell>
          <cell r="H525">
            <v>0.05</v>
          </cell>
          <cell r="I525" t="str">
            <v>&lt;5%</v>
          </cell>
          <cell r="J525" t="str">
            <v>Reduce unplanned capex variance to less than 5% of the annual budget.</v>
          </cell>
          <cell r="L525" t="str">
            <v>OLADIPO BADRU</v>
          </cell>
        </row>
        <row r="526">
          <cell r="A526">
            <v>36</v>
          </cell>
          <cell r="B526" t="str">
            <v>PAT00169</v>
          </cell>
          <cell r="C526" t="str">
            <v>OLAREWAJU IBRAHEEM</v>
          </cell>
          <cell r="D526" t="str">
            <v>Finance Director</v>
          </cell>
          <cell r="F526" t="str">
            <v>Ensure capex spend in line with company needs</v>
          </cell>
          <cell r="H526">
            <v>0.05</v>
          </cell>
          <cell r="I526" t="str">
            <v>&gt;10%</v>
          </cell>
          <cell r="J526" t="str">
            <v>Improve ROI tracking on capex projects, ensuring a minimum return of 10% on investments.</v>
          </cell>
          <cell r="L526" t="str">
            <v>OLADIPO BADRU</v>
          </cell>
        </row>
        <row r="527">
          <cell r="A527">
            <v>36</v>
          </cell>
          <cell r="B527" t="str">
            <v>PAT00169</v>
          </cell>
          <cell r="C527" t="str">
            <v>OLAREWAJU IBRAHEEM</v>
          </cell>
          <cell r="D527" t="str">
            <v>Finance Director</v>
          </cell>
          <cell r="E527" t="str">
            <v>Ensure IT systems, processes, and initiatives are structured and implemented in line with best practices (within the finance function)</v>
          </cell>
          <cell r="F527" t="str">
            <v>Ensure IT systems, processes, and initiatives are structured and implemented in line with best practices (within the finance function)</v>
          </cell>
          <cell r="G527">
            <v>0.05</v>
          </cell>
          <cell r="H527">
            <v>2.5000000000000001E-2</v>
          </cell>
          <cell r="I527">
            <v>1</v>
          </cell>
          <cell r="J527" t="str">
            <v>Complete 100% implementation of approved IT financial controls.</v>
          </cell>
          <cell r="L527" t="str">
            <v>OLADIPO BADRU</v>
          </cell>
        </row>
        <row r="528">
          <cell r="A528">
            <v>36</v>
          </cell>
          <cell r="B528" t="str">
            <v>PAT00169</v>
          </cell>
          <cell r="C528" t="str">
            <v>OLAREWAJU IBRAHEEM</v>
          </cell>
          <cell r="D528" t="str">
            <v>Finance Director</v>
          </cell>
          <cell r="F528" t="str">
            <v>Ensure IT systems, processes, and initiatives are structured and implemented in line with best practices (within the finance function)</v>
          </cell>
          <cell r="H528">
            <v>2.5000000000000001E-2</v>
          </cell>
          <cell r="I528">
            <v>0.3</v>
          </cell>
          <cell r="J528" t="str">
            <v>Implement IT automation to improve financial reporting efficiency by 30%.</v>
          </cell>
          <cell r="L528" t="str">
            <v>OLADIPO BADRU</v>
          </cell>
        </row>
        <row r="529">
          <cell r="A529">
            <v>36</v>
          </cell>
          <cell r="B529" t="str">
            <v>PAT00169</v>
          </cell>
          <cell r="C529" t="str">
            <v>OLAREWAJU IBRAHEEM</v>
          </cell>
          <cell r="D529" t="str">
            <v>Finance Director</v>
          </cell>
          <cell r="E529" t="str">
            <v>Ensure smooth integration of PAT and ENL teams</v>
          </cell>
          <cell r="F529" t="str">
            <v>Ensure smooth integration of PAT and ENL teams</v>
          </cell>
          <cell r="G529">
            <v>0.05</v>
          </cell>
          <cell r="H529">
            <v>0.05</v>
          </cell>
          <cell r="I529">
            <v>1</v>
          </cell>
          <cell r="J529" t="str">
            <v>Complete ENL  post merger integration plan with plan to execute following PAT acquires 100% of ENL
Take control of ENL supervision across Finance. Budget, payment approval and financial control</v>
          </cell>
          <cell r="L529" t="str">
            <v>OLADIPO BADRU</v>
          </cell>
        </row>
        <row r="530">
          <cell r="A530">
            <v>36</v>
          </cell>
          <cell r="B530" t="str">
            <v>PAT00169</v>
          </cell>
          <cell r="C530" t="str">
            <v>OLAREWAJU IBRAHEEM</v>
          </cell>
          <cell r="D530" t="str">
            <v>Finance Director</v>
          </cell>
          <cell r="E530" t="str">
            <v>Ensure PAT fully abides with financial and non-financial regulations</v>
          </cell>
          <cell r="F530" t="str">
            <v>Ensure PAT fully abides with financial and non-financial regulations</v>
          </cell>
          <cell r="G530">
            <v>0.05</v>
          </cell>
          <cell r="H530">
            <v>0.01</v>
          </cell>
          <cell r="I530" t="str">
            <v>≤April 2025</v>
          </cell>
          <cell r="J530" t="str">
            <v xml:space="preserve">Ensure PAT FY 2024 audited statements are finalized and submitted by April 2025 </v>
          </cell>
          <cell r="L530" t="str">
            <v>OLADIPO BADRU</v>
          </cell>
        </row>
        <row r="531">
          <cell r="A531">
            <v>36</v>
          </cell>
          <cell r="B531" t="str">
            <v>PAT00169</v>
          </cell>
          <cell r="C531" t="str">
            <v>OLAREWAJU IBRAHEEM</v>
          </cell>
          <cell r="D531" t="str">
            <v>Finance Director</v>
          </cell>
          <cell r="F531" t="str">
            <v>Ensure PAT fully abides with financial and non-financial regulations</v>
          </cell>
          <cell r="H531">
            <v>0.01</v>
          </cell>
          <cell r="J531" t="str">
            <v>Ensure all gaps in company controls are mitigated (through running a full assessment of the company's controls' effectiveness and implementing recommendations)</v>
          </cell>
          <cell r="L531" t="str">
            <v>OLADIPO BADRU</v>
          </cell>
        </row>
        <row r="532">
          <cell r="A532">
            <v>36</v>
          </cell>
          <cell r="B532" t="str">
            <v>PAT00169</v>
          </cell>
          <cell r="C532" t="str">
            <v>OLAREWAJU IBRAHEEM</v>
          </cell>
          <cell r="D532" t="str">
            <v>Finance Director</v>
          </cell>
          <cell r="F532" t="str">
            <v>Ensure PAT fully abides with financial and non-financial regulations</v>
          </cell>
          <cell r="H532">
            <v>0.01</v>
          </cell>
          <cell r="J532" t="str">
            <v>Ensure single action payments and not lumped payments are made to staff and contractors to avoid ambiguity and promote transparency</v>
          </cell>
          <cell r="L532" t="str">
            <v>OLADIPO BADRU</v>
          </cell>
        </row>
        <row r="533">
          <cell r="A533">
            <v>36</v>
          </cell>
          <cell r="B533" t="str">
            <v>PAT00169</v>
          </cell>
          <cell r="C533" t="str">
            <v>OLAREWAJU IBRAHEEM</v>
          </cell>
          <cell r="D533" t="str">
            <v>Finance Director</v>
          </cell>
          <cell r="F533" t="str">
            <v>Ensure PAT fully abides with financial and non-financial regulations</v>
          </cell>
          <cell r="H533">
            <v>0.01</v>
          </cell>
          <cell r="J533" t="str">
            <v xml:space="preserve">Ensure that the monthly remittance of VAT, consumption taxes and WHT are done by the last day of the new month to avoid penalties for the business. </v>
          </cell>
          <cell r="L533" t="str">
            <v>OLADIPO BADRU</v>
          </cell>
        </row>
        <row r="534">
          <cell r="A534">
            <v>36</v>
          </cell>
          <cell r="B534" t="str">
            <v>PAT00169</v>
          </cell>
          <cell r="C534" t="str">
            <v>OLAREWAJU IBRAHEEM</v>
          </cell>
          <cell r="D534" t="str">
            <v>Finance Director</v>
          </cell>
          <cell r="F534" t="str">
            <v>Ensure PAT fully abides with financial and non-financial regulations</v>
          </cell>
          <cell r="H534">
            <v>5.0000000000000001E-3</v>
          </cell>
          <cell r="I534">
            <v>1</v>
          </cell>
          <cell r="J534" t="str">
            <v>Maintain 100% regulatory compliance with all financial and statutory requirements.</v>
          </cell>
          <cell r="L534" t="str">
            <v>OLADIPO BADRU</v>
          </cell>
        </row>
        <row r="535">
          <cell r="A535">
            <v>36</v>
          </cell>
          <cell r="B535" t="str">
            <v>PAT00169</v>
          </cell>
          <cell r="C535" t="str">
            <v>OLAREWAJU IBRAHEEM</v>
          </cell>
          <cell r="D535" t="str">
            <v>Finance Director</v>
          </cell>
          <cell r="F535" t="str">
            <v>Ensure PAT fully abides with financial and non-financial regulations</v>
          </cell>
          <cell r="H535">
            <v>5.0000000000000001E-3</v>
          </cell>
          <cell r="I535">
            <v>0</v>
          </cell>
          <cell r="J535" t="str">
            <v>Achieve zero non-compliance penalties or fines.</v>
          </cell>
          <cell r="L535" t="str">
            <v>OLADIPO BADRU</v>
          </cell>
        </row>
        <row r="536">
          <cell r="A536">
            <v>36</v>
          </cell>
          <cell r="B536" t="str">
            <v>PAT00169</v>
          </cell>
          <cell r="C536" t="str">
            <v>OLAREWAJU IBRAHEEM</v>
          </cell>
          <cell r="D536" t="str">
            <v>Finance Director</v>
          </cell>
          <cell r="E536" t="str">
            <v>Enhance Finance Team Performance, Career Growth, and Retention</v>
          </cell>
          <cell r="F536" t="str">
            <v>Enhance Finance Team Performance, Career Growth, and Retention</v>
          </cell>
          <cell r="G536">
            <v>0.05</v>
          </cell>
          <cell r="H536">
            <v>0.02</v>
          </cell>
          <cell r="J536" t="str">
            <v>Ensure all Finance staff have OKRs set and aligned with business goals by the end of April 2025.</v>
          </cell>
          <cell r="L536" t="str">
            <v>OLADIPO BADRU</v>
          </cell>
        </row>
        <row r="537">
          <cell r="A537">
            <v>36</v>
          </cell>
          <cell r="B537" t="str">
            <v>PAT00169</v>
          </cell>
          <cell r="C537" t="str">
            <v>OLAREWAJU IBRAHEEM</v>
          </cell>
          <cell r="D537" t="str">
            <v>Finance Director</v>
          </cell>
          <cell r="F537" t="str">
            <v>Enhance Finance Team Performance, Career Growth, and Retention</v>
          </cell>
          <cell r="H537">
            <v>0.02</v>
          </cell>
          <cell r="I537">
            <v>1</v>
          </cell>
          <cell r="J537" t="str">
            <v>Collaborate with HR to define a clear career roadmap for all  Finance positions and ensure 100% adoption within the team by Q3 2025.</v>
          </cell>
          <cell r="L537" t="str">
            <v>OLADIPO BADRU</v>
          </cell>
        </row>
        <row r="538">
          <cell r="A538">
            <v>36</v>
          </cell>
          <cell r="B538" t="str">
            <v>PAT00169</v>
          </cell>
          <cell r="C538" t="str">
            <v>OLAREWAJU IBRAHEEM</v>
          </cell>
          <cell r="D538" t="str">
            <v>Finance Director</v>
          </cell>
          <cell r="F538" t="str">
            <v>Enhance Finance Team Performance, Career Growth, and Retention</v>
          </cell>
          <cell r="H538">
            <v>0.01</v>
          </cell>
          <cell r="I538" t="str">
            <v>&lt;5%</v>
          </cell>
          <cell r="J538" t="str">
            <v>Implement strategies to retain top Finance talent, ensuring attrition of senior personnel does not exceed 5%.</v>
          </cell>
          <cell r="L538" t="str">
            <v>OLADIPO BADRU</v>
          </cell>
        </row>
        <row r="539">
          <cell r="A539">
            <v>37</v>
          </cell>
          <cell r="B539" t="str">
            <v>PAT00015</v>
          </cell>
          <cell r="C539" t="str">
            <v>ARUN PANDA</v>
          </cell>
          <cell r="D539" t="str">
            <v>Chief Technical Officer</v>
          </cell>
          <cell r="E539" t="str">
            <v>Achieve Average PA &gt; 99.5% for every month staring August 2025 (refer to 'PA Glide Path' below)</v>
          </cell>
          <cell r="F539" t="str">
            <v>Achieve Average PA &gt; 99.5% for every month staring August 2025 (refer to 'PA Glide Path' below)</v>
          </cell>
          <cell r="G539">
            <v>0</v>
          </cell>
          <cell r="I539" t="str">
            <v>&gt;99.2%</v>
          </cell>
          <cell r="J539" t="str">
            <v>Achieve Average PA &gt; 99.5% for every month staring August 2025 (refer to 'PA Glide Path' below)</v>
          </cell>
          <cell r="K539" t="str">
            <v>Achieve Average  PA &gt; 99.5% for every month staring August 2025 (refer to 'PA Glide Path' below)</v>
          </cell>
          <cell r="L539" t="str">
            <v>OLADIPO BADRU</v>
          </cell>
        </row>
        <row r="540">
          <cell r="A540">
            <v>37</v>
          </cell>
          <cell r="B540" t="str">
            <v>PAT00015</v>
          </cell>
          <cell r="C540" t="str">
            <v>ARUN PANDA</v>
          </cell>
          <cell r="D540" t="str">
            <v>Chief Technical Officer</v>
          </cell>
          <cell r="E540" t="str">
            <v>Ensure average fault count &lt;70</v>
          </cell>
          <cell r="F540" t="str">
            <v>Ensure average fault count &lt;70</v>
          </cell>
          <cell r="G540">
            <v>0.25</v>
          </cell>
          <cell r="H540">
            <v>0.05</v>
          </cell>
          <cell r="I540" t="str">
            <v>&lt;70</v>
          </cell>
          <cell r="J540" t="str">
            <v>Ensure average fault count &lt;70</v>
          </cell>
          <cell r="K540" t="str">
            <v>Achieve Average  PA &gt; 99.5% for every month staring August 2025 (refer to 'PA Glide Path' below)</v>
          </cell>
          <cell r="L540" t="str">
            <v>OLADIPO BADRU</v>
          </cell>
        </row>
        <row r="541">
          <cell r="A541">
            <v>37</v>
          </cell>
          <cell r="B541" t="str">
            <v>PAT00015</v>
          </cell>
          <cell r="C541" t="str">
            <v>ARUN PANDA</v>
          </cell>
          <cell r="D541" t="str">
            <v>Chief Technical Officer</v>
          </cell>
          <cell r="E541" t="str">
            <v>Ensure MTTR &lt;120minutes</v>
          </cell>
          <cell r="F541" t="str">
            <v>Ensure MTTR &lt;120minutes</v>
          </cell>
          <cell r="H541">
            <v>0.05</v>
          </cell>
          <cell r="I541" t="str">
            <v>&lt;120min</v>
          </cell>
          <cell r="J541" t="str">
            <v>Ensure MTTR &lt;120minutes</v>
          </cell>
          <cell r="K541" t="str">
            <v>Achieve Average  PA &gt; 99.5% for every month staring August 2025 (refer to 'PA Glide Path' below)</v>
          </cell>
          <cell r="L541" t="str">
            <v>OLADIPO BADRU</v>
          </cell>
        </row>
        <row r="542">
          <cell r="A542">
            <v>37</v>
          </cell>
          <cell r="B542" t="str">
            <v>PAT00015</v>
          </cell>
          <cell r="C542" t="str">
            <v>ARUN PANDA</v>
          </cell>
          <cell r="D542" t="str">
            <v>Chief Technical Officer</v>
          </cell>
          <cell r="E542" t="str">
            <v>65% and above sites meeting PA &gt; 99.5%</v>
          </cell>
          <cell r="F542" t="str">
            <v>65% and above sites meeting PA &gt; 99.5%</v>
          </cell>
          <cell r="H542">
            <v>0.05</v>
          </cell>
          <cell r="I542">
            <v>0.65</v>
          </cell>
          <cell r="J542" t="str">
            <v>65% and above sites meeting PA &gt; 99.5%</v>
          </cell>
          <cell r="K542" t="str">
            <v>Achieve Average  PA &gt; 99.5% for every month staring August 2025 (refer to 'PA Glide Path' below)</v>
          </cell>
          <cell r="L542" t="str">
            <v>OLADIPO BADRU</v>
          </cell>
        </row>
        <row r="543">
          <cell r="A543">
            <v>37</v>
          </cell>
          <cell r="B543" t="str">
            <v>PAT00015</v>
          </cell>
          <cell r="C543" t="str">
            <v>ARUN PANDA</v>
          </cell>
          <cell r="D543" t="str">
            <v>Chief Technical Officer</v>
          </cell>
          <cell r="E543" t="str">
            <v>Ensure no diesel outages to sites</v>
          </cell>
          <cell r="F543" t="str">
            <v>Ensure no diesel outages to sites</v>
          </cell>
          <cell r="H543">
            <v>0.05</v>
          </cell>
          <cell r="I543">
            <v>0</v>
          </cell>
          <cell r="J543" t="str">
            <v>Ensure no diesel outages to sites</v>
          </cell>
          <cell r="K543" t="str">
            <v>Achieve Average  PA &gt; 99.5% for every month staring August 2025 (refer to 'PA Glide Path' below)</v>
          </cell>
          <cell r="L543" t="str">
            <v>OLADIPO BADRU</v>
          </cell>
        </row>
        <row r="544">
          <cell r="A544">
            <v>37</v>
          </cell>
          <cell r="B544" t="str">
            <v>PAT00015</v>
          </cell>
          <cell r="C544" t="str">
            <v>ARUN PANDA</v>
          </cell>
          <cell r="D544" t="str">
            <v>Chief Technical Officer</v>
          </cell>
          <cell r="E544" t="str">
            <v>Achieve high diesel supplier satisfaction with 85% satisfaction rate
 (measured through surveys and interviews)</v>
          </cell>
          <cell r="F544" t="str">
            <v>Achieve high diesel supplier satisfaction with 85% satisfaction rate
 (measured through surveys and interviews)</v>
          </cell>
          <cell r="H544">
            <v>0.05</v>
          </cell>
          <cell r="I544" t="str">
            <v>'0' outages/cycle</v>
          </cell>
          <cell r="J544" t="str">
            <v>Achieve high diesel supplier satisfaction with 85% satisfaction rate (measured through surveys and interviews)</v>
          </cell>
          <cell r="K544" t="str">
            <v xml:space="preserve">Make sure PAT scores highly in stakeholder satisfaction scores </v>
          </cell>
          <cell r="L544" t="str">
            <v>OLADIPO BADRU</v>
          </cell>
        </row>
        <row r="545">
          <cell r="A545">
            <v>37</v>
          </cell>
          <cell r="B545" t="str">
            <v>PAT00015</v>
          </cell>
          <cell r="C545" t="str">
            <v>ARUN PANDA</v>
          </cell>
          <cell r="D545" t="str">
            <v>Chief Technical Officer</v>
          </cell>
          <cell r="E545" t="str">
            <v>MS Vendor SLA - Ensure penalties applied to ISMs for all breaches in SLAs Achieve high ops suppliers (non diesel) satisfaction with 85% satisfaction rate (measured through surveys and interviews)</v>
          </cell>
          <cell r="F545" t="str">
            <v>MS Vendor SLA - Ensure penalties applied to ISMs for all breaches in SLAs Achieve high ops suppliers (non diesel) satisfaction with 85% satisfaction rate (measured through surveys and interviews)</v>
          </cell>
          <cell r="G545">
            <v>0.1</v>
          </cell>
          <cell r="H545">
            <v>0.1</v>
          </cell>
          <cell r="I545">
            <v>1</v>
          </cell>
          <cell r="J545" t="str">
            <v>MS Vendor SLA - Ensure penalties applied to ISMs for all breaches in SLAs Achieve high ops suppliers (non diesel) satisfaction with 85% satisfaction rate (measured through surveys and interviews)</v>
          </cell>
          <cell r="K545" t="str">
            <v xml:space="preserve">Make sure PAT scores highly in stakeholder satisfaction scores </v>
          </cell>
          <cell r="L545" t="str">
            <v>OLADIPO BADRU</v>
          </cell>
        </row>
        <row r="546">
          <cell r="A546">
            <v>37</v>
          </cell>
          <cell r="B546" t="str">
            <v>PAT00015</v>
          </cell>
          <cell r="C546" t="str">
            <v>ARUN PANDA</v>
          </cell>
          <cell r="D546" t="str">
            <v>Chief Technical Officer</v>
          </cell>
          <cell r="E546" t="str">
            <v>Ensure growth capex in line with budget</v>
          </cell>
          <cell r="F546" t="str">
            <v>Ensure growth capex in line with budget</v>
          </cell>
          <cell r="G546">
            <v>0.1</v>
          </cell>
          <cell r="H546">
            <v>0.05</v>
          </cell>
          <cell r="I546" t="str">
            <v>as per budget</v>
          </cell>
          <cell r="J546" t="str">
            <v>Ensure growth capex in line with budget</v>
          </cell>
          <cell r="K546" t="str">
            <v xml:space="preserve">Ensure cash balance in line with budget with no need for external funding </v>
          </cell>
          <cell r="L546" t="str">
            <v>OLADIPO BADRU</v>
          </cell>
        </row>
        <row r="547">
          <cell r="A547">
            <v>37</v>
          </cell>
          <cell r="B547" t="str">
            <v>PAT00015</v>
          </cell>
          <cell r="C547" t="str">
            <v>ARUN PANDA</v>
          </cell>
          <cell r="D547" t="str">
            <v>Chief Technical Officer</v>
          </cell>
          <cell r="E547" t="str">
            <v>Ensure maintenance capex in line with budget and does not exceed NGN Mn 4,700</v>
          </cell>
          <cell r="F547" t="str">
            <v>Ensure maintenance capex in line with budget and does not exceed NGN Mn 4,700</v>
          </cell>
          <cell r="H547">
            <v>0.05</v>
          </cell>
          <cell r="I547" t="str">
            <v>&lt;4700Mn</v>
          </cell>
          <cell r="J547" t="str">
            <v>Ensure maintenance capex in line with budget and does not exceed NGN Mn 4,700</v>
          </cell>
          <cell r="K547" t="str">
            <v xml:space="preserve">Ensure cash balance in line with budget with no need for external funding </v>
          </cell>
          <cell r="L547" t="str">
            <v>OLADIPO BADRU</v>
          </cell>
        </row>
        <row r="548">
          <cell r="A548">
            <v>37</v>
          </cell>
          <cell r="B548" t="str">
            <v>PAT00015</v>
          </cell>
          <cell r="C548" t="str">
            <v>ARUN PANDA</v>
          </cell>
          <cell r="D548" t="str">
            <v>Chief Technical Officer</v>
          </cell>
          <cell r="E548" t="str">
            <v>Saving from Fuel - Grid Sites - Ensure grid connectivity is operational for all sites connected to the grid</v>
          </cell>
          <cell r="F548" t="str">
            <v>Saving from Fuel - Grid Sites - Ensure grid connectivity is operational for all sites connected to the grid</v>
          </cell>
          <cell r="G548">
            <v>0.15</v>
          </cell>
          <cell r="H548">
            <v>0.05</v>
          </cell>
          <cell r="I548">
            <v>1</v>
          </cell>
          <cell r="J548" t="str">
            <v>Saving from Fuel - Grid Sites - Ensure grid connectivity is operational for all sites connected to the grid</v>
          </cell>
          <cell r="K548" t="str">
            <v>Deliver Gross Profit of NGN Bn 19 by Q4 2025 (and cumulative GP of NGN Bn 8.4 by Q2 2025)</v>
          </cell>
          <cell r="L548" t="str">
            <v>OLADIPO BADRU</v>
          </cell>
        </row>
        <row r="549">
          <cell r="A549">
            <v>37</v>
          </cell>
          <cell r="B549" t="str">
            <v>PAT00015</v>
          </cell>
          <cell r="C549" t="str">
            <v>ARUN PANDA</v>
          </cell>
          <cell r="D549" t="str">
            <v>Chief Technical Officer</v>
          </cell>
          <cell r="E549" t="str">
            <v>OPEX saving from CNG operated Sites (as per the number of sites approved by the commitee)</v>
          </cell>
          <cell r="F549" t="str">
            <v>OPEX saving from CNG operated Sites (as per the number of sites approved by the commitee)</v>
          </cell>
          <cell r="H549">
            <v>0.05</v>
          </cell>
          <cell r="I549">
            <v>1</v>
          </cell>
          <cell r="J549" t="str">
            <v>OPEX saving from CNG operated Sites (as per the number of sites approved by the commitee)</v>
          </cell>
          <cell r="K549" t="str">
            <v>Deliver Gross Profit of NGN Bn 19 by Q4 2025 (and cumulative GP of NGN Bn 8.4 by Q2 2025)</v>
          </cell>
          <cell r="L549" t="str">
            <v>OLADIPO BADRU</v>
          </cell>
        </row>
        <row r="550">
          <cell r="A550">
            <v>37</v>
          </cell>
          <cell r="B550" t="str">
            <v>PAT00015</v>
          </cell>
          <cell r="C550" t="str">
            <v>ARUN PANDA</v>
          </cell>
          <cell r="D550" t="str">
            <v>Chief Technical Officer</v>
          </cell>
          <cell r="E550" t="str">
            <v>Saving from Fuel - DG-Battery Hybrid Sites - Connect 150 Sites</v>
          </cell>
          <cell r="F550" t="str">
            <v>Saving from Fuel - DG-Battery Hybrid Sites - Connect 150 Sites</v>
          </cell>
          <cell r="H550">
            <v>0.05</v>
          </cell>
          <cell r="I550">
            <v>1</v>
          </cell>
          <cell r="J550" t="str">
            <v>Saving from Fuel - DG-Battery Hybrid Sites - Connect 150 Sites</v>
          </cell>
          <cell r="K550" t="str">
            <v>Deliver Gross Profit of NGN Bn 19 by Q4 2025 (and cumulative GP of NGN Bn 8.4 by Q2 2025)</v>
          </cell>
          <cell r="L550" t="str">
            <v>OLADIPO BADRU</v>
          </cell>
        </row>
        <row r="551">
          <cell r="A551">
            <v>37</v>
          </cell>
          <cell r="B551" t="str">
            <v>PAT00015</v>
          </cell>
          <cell r="C551" t="str">
            <v>ARUN PANDA</v>
          </cell>
          <cell r="D551" t="str">
            <v>Chief Technical Officer</v>
          </cell>
          <cell r="E551" t="str">
            <v>Ensure understanding of full quantum of diesel theft through various means (i.e., RMS, dry date shift etc.)</v>
          </cell>
          <cell r="F551" t="str">
            <v>Ensure understanding of full quantum of diesel theft through various means (i.e., RMS, dry date shift etc.)</v>
          </cell>
          <cell r="G551">
            <v>0.15</v>
          </cell>
          <cell r="H551">
            <v>0.05</v>
          </cell>
          <cell r="I551">
            <v>1</v>
          </cell>
          <cell r="J551" t="str">
            <v>Ensure understanding of full quantum of diesel theft through various means (i.e., RMS, dry date shift etc.)</v>
          </cell>
          <cell r="K551" t="str">
            <v>Deliver Gross Profit of NGN Bn 19 by Q4 2025 (and cumulative GP of NGN Bn 8.4 by Q2 2025)</v>
          </cell>
          <cell r="L551" t="str">
            <v>OLADIPO BADRU</v>
          </cell>
        </row>
        <row r="552">
          <cell r="A552">
            <v>37</v>
          </cell>
          <cell r="B552" t="str">
            <v>PAT00015</v>
          </cell>
          <cell r="C552" t="str">
            <v>ARUN PANDA</v>
          </cell>
          <cell r="D552" t="str">
            <v>Chief Technical Officer</v>
          </cell>
          <cell r="E552" t="str">
            <v>Improve accuracy of diesel allocation by recording less diesel sustenance. Achieve 75% reduction in fuel drop on all RMS sites by Q4. FY diesel theft and dry date shift should not be more than 250m</v>
          </cell>
          <cell r="F552" t="str">
            <v>Improve accuracy of diesel allocation by recording less diesel sustenance. Achieve 75% reduction in fuel drop on all RMS sites by Q4. FY diesel theft and dry date shift should not be more than 250m</v>
          </cell>
          <cell r="H552">
            <v>0.05</v>
          </cell>
          <cell r="I552">
            <v>1</v>
          </cell>
          <cell r="J552" t="str">
            <v>Improve accuracy of diesel allocation by recording less diesel sustenance. Achieve 75% reduction in fuel drop on all RMS sites by Q4. FY diesel theft and dry date shift should not be more than 250m</v>
          </cell>
          <cell r="K552" t="str">
            <v>Deliver Gross Profit of NGN Bn 19 by Q4 2025 (and cumulative GP of NGN Bn 8.4 by Q2 2025)</v>
          </cell>
          <cell r="L552" t="str">
            <v>OLADIPO BADRU</v>
          </cell>
        </row>
        <row r="553">
          <cell r="A553">
            <v>37</v>
          </cell>
          <cell r="B553" t="str">
            <v>PAT00015</v>
          </cell>
          <cell r="C553" t="str">
            <v>ARUN PANDA</v>
          </cell>
          <cell r="D553" t="str">
            <v>Chief Technical Officer</v>
          </cell>
          <cell r="E553" t="str">
            <v>Ensure highly efficient NOC including Remote Monitoring System (RMS) installed and fully operational for 100% of new and existing sites</v>
          </cell>
          <cell r="F553" t="str">
            <v>Ensure highly efficient NOC including Remote Monitoring System (RMS) installed and fully operational for 100% of new and existing sites</v>
          </cell>
          <cell r="H553">
            <v>0.05</v>
          </cell>
          <cell r="I553">
            <v>1</v>
          </cell>
          <cell r="J553" t="str">
            <v>Ensure highly efficient NOC including Remote Monitoring System (RMS) installed and fully operational for 100% of new and existing sites</v>
          </cell>
          <cell r="K553" t="str">
            <v>Deliver Gross Profit of NGN Bn 19 by Q4 2025 (and cumulative GP of NGN Bn 8.4 by Q2 2025)
Deliver uptime of 99.5% for 5 months of the year</v>
          </cell>
          <cell r="L553" t="str">
            <v>OLADIPO BADRU</v>
          </cell>
        </row>
        <row r="554">
          <cell r="A554">
            <v>37</v>
          </cell>
          <cell r="B554" t="str">
            <v>PAT00015</v>
          </cell>
          <cell r="C554" t="str">
            <v>ARUN PANDA</v>
          </cell>
          <cell r="D554" t="str">
            <v>Chief Technical Officer</v>
          </cell>
          <cell r="E554" t="str">
            <v>Energy management - Ensure adequate billing for underbilled sites</v>
          </cell>
          <cell r="F554" t="str">
            <v>Energy management - Ensure adequate billing for underbilled sites</v>
          </cell>
          <cell r="G554">
            <v>0.05</v>
          </cell>
          <cell r="H554">
            <v>0.05</v>
          </cell>
          <cell r="I554">
            <v>1</v>
          </cell>
          <cell r="J554" t="str">
            <v>Energy management - Ensure adequate billing for underbilled sites</v>
          </cell>
          <cell r="K554" t="str">
            <v>Deliver Gross Profit of NGN Bn 19 by Q4 2025 (and cumulative GP of NGN Bn 8.4 by Q2 2025)
Deliver uptime of 99.5% for 5 months of the year</v>
          </cell>
          <cell r="L554" t="str">
            <v>OLADIPO BADRU</v>
          </cell>
        </row>
        <row r="555">
          <cell r="A555">
            <v>37</v>
          </cell>
          <cell r="B555" t="str">
            <v>PAT00015</v>
          </cell>
          <cell r="C555" t="str">
            <v>ARUN PANDA</v>
          </cell>
          <cell r="D555" t="str">
            <v>Chief Technical Officer</v>
          </cell>
          <cell r="E555" t="str">
            <v>Ensure new tower rollout timing in line with agreed upon SLAs</v>
          </cell>
          <cell r="F555" t="str">
            <v>Ensure new tower rollout timing in line with agreed upon SLAs</v>
          </cell>
          <cell r="G555">
            <v>0.15</v>
          </cell>
          <cell r="H555">
            <v>0.1</v>
          </cell>
          <cell r="I555">
            <v>1</v>
          </cell>
          <cell r="J555" t="str">
            <v>Ensure new tower rollout timing in line with agreed upon SLAs</v>
          </cell>
          <cell r="K555" t="str">
            <v>Deliver Gross Profit of NGN Bn 19 by Q4 2025 (and cumulative GP of NGN Bn 8.4 by Q2 2025)</v>
          </cell>
          <cell r="L555" t="str">
            <v>OLADIPO BADRU</v>
          </cell>
        </row>
        <row r="556">
          <cell r="A556">
            <v>37</v>
          </cell>
          <cell r="B556" t="str">
            <v>PAT00015</v>
          </cell>
          <cell r="C556" t="str">
            <v>ARUN PANDA</v>
          </cell>
          <cell r="D556" t="str">
            <v>Chief Technical Officer</v>
          </cell>
          <cell r="E556" t="str">
            <v>Ensure new tower rollout fully complies with agreed upon site layout</v>
          </cell>
          <cell r="F556" t="str">
            <v>Ensure new tower rollout fully complies with agreed upon site layout</v>
          </cell>
          <cell r="H556">
            <v>0.05</v>
          </cell>
          <cell r="I556">
            <v>1</v>
          </cell>
          <cell r="J556" t="str">
            <v>Ensure new tower rollout fully complies with agreed upon site layout</v>
          </cell>
          <cell r="K556" t="str">
            <v>Deliver Gross Profit of NGN Bn 19 by Q4 2025 (and cumulative GP of NGN Bn 8.4 by Q2 2025)</v>
          </cell>
          <cell r="L556" t="str">
            <v>OLADIPO BADRU</v>
          </cell>
        </row>
        <row r="557">
          <cell r="A557">
            <v>37</v>
          </cell>
          <cell r="B557" t="str">
            <v>PAT00015</v>
          </cell>
          <cell r="C557" t="str">
            <v>ARUN PANDA</v>
          </cell>
          <cell r="D557" t="str">
            <v>Chief Technical Officer</v>
          </cell>
          <cell r="E557" t="str">
            <v>Complete ENL post merger integration plan with plan to execute following PAT acquires 100% of ENL
Take control of ENL supervision across Operations</v>
          </cell>
          <cell r="F557" t="str">
            <v>Complete ENL post merger integration plan with plan to execute following PAT acquires 100% of ENL
Take control of ENL supervision across Operations</v>
          </cell>
          <cell r="G557">
            <v>0.05</v>
          </cell>
          <cell r="H557">
            <v>0.05</v>
          </cell>
          <cell r="I557">
            <v>1</v>
          </cell>
          <cell r="J557" t="str">
            <v>Complete ENL post merger integration plan with plan to execute following PAT acquires 100% of ENL
Take control of ENL supervision across Operations</v>
          </cell>
          <cell r="K557" t="str">
            <v xml:space="preserve">Fully integrate ENL into PAT </v>
          </cell>
          <cell r="L557" t="str">
            <v>OLADIPO BADRU</v>
          </cell>
        </row>
        <row r="558">
          <cell r="A558">
            <v>38</v>
          </cell>
          <cell r="B558" t="str">
            <v>PAT00113</v>
          </cell>
          <cell r="C558" t="str">
            <v>ANTHONY OSAKWE</v>
          </cell>
          <cell r="D558" t="str">
            <v>Director, Technical</v>
          </cell>
          <cell r="E558" t="str">
            <v>Ensure average fault count &lt;70</v>
          </cell>
          <cell r="F558" t="str">
            <v>Ensure average fault count &lt;70</v>
          </cell>
          <cell r="G558">
            <v>0.25</v>
          </cell>
          <cell r="H558">
            <v>0.05</v>
          </cell>
          <cell r="I558" t="str">
            <v>&lt;70</v>
          </cell>
          <cell r="J558" t="str">
            <v>Ensure average fault count &lt;70</v>
          </cell>
          <cell r="K558" t="str">
            <v>Achieve Average  PA &gt; 99.5% for every month staring August 2025 (refer to 'PA Glide Path' below)</v>
          </cell>
          <cell r="L558" t="str">
            <v>ARUN PANDA</v>
          </cell>
        </row>
        <row r="559">
          <cell r="A559">
            <v>38</v>
          </cell>
          <cell r="B559" t="str">
            <v>PAT00113</v>
          </cell>
          <cell r="C559" t="str">
            <v>ANTHONY OSAKWE</v>
          </cell>
          <cell r="D559" t="str">
            <v>Director, Technical</v>
          </cell>
          <cell r="E559" t="str">
            <v>Ensure MTTR &lt;120minutes</v>
          </cell>
          <cell r="F559" t="str">
            <v>Ensure MTTR &lt;120minutes</v>
          </cell>
          <cell r="H559">
            <v>0.05</v>
          </cell>
          <cell r="I559" t="str">
            <v>&lt;120min</v>
          </cell>
          <cell r="J559" t="str">
            <v>Ensure MTTR &lt;120minutes</v>
          </cell>
          <cell r="K559" t="str">
            <v>Achieve Average  PA &gt; 99.5% for every month staring August 2025 (refer to 'PA Glide Path' below)</v>
          </cell>
          <cell r="L559" t="str">
            <v>ARUN PANDA</v>
          </cell>
        </row>
        <row r="560">
          <cell r="A560">
            <v>38</v>
          </cell>
          <cell r="B560" t="str">
            <v>PAT00113</v>
          </cell>
          <cell r="C560" t="str">
            <v>ANTHONY OSAKWE</v>
          </cell>
          <cell r="D560" t="str">
            <v>Director, Technical</v>
          </cell>
          <cell r="E560" t="str">
            <v>65% and above sites meeting PA &gt; 99.5%</v>
          </cell>
          <cell r="F560" t="str">
            <v>65% and above sites meeting PA &gt; 99.5%</v>
          </cell>
          <cell r="H560">
            <v>0.05</v>
          </cell>
          <cell r="I560">
            <v>0.65</v>
          </cell>
          <cell r="J560" t="str">
            <v>65% and above sites meeting PA &gt; 99.5%</v>
          </cell>
          <cell r="K560" t="str">
            <v>Achieve Average  PA &gt; 99.5% for every month staring August 2025 (refer to 'PA Glide Path' below)</v>
          </cell>
          <cell r="L560" t="str">
            <v>ARUN PANDA</v>
          </cell>
        </row>
        <row r="561">
          <cell r="A561">
            <v>38</v>
          </cell>
          <cell r="B561" t="str">
            <v>PAT00113</v>
          </cell>
          <cell r="C561" t="str">
            <v>ANTHONY OSAKWE</v>
          </cell>
          <cell r="D561" t="str">
            <v>Director, Technical</v>
          </cell>
          <cell r="E561" t="str">
            <v>Ensure no diesel outages to sites</v>
          </cell>
          <cell r="F561" t="str">
            <v>Ensure no diesel outages to sites</v>
          </cell>
          <cell r="H561">
            <v>0.05</v>
          </cell>
          <cell r="I561">
            <v>0</v>
          </cell>
          <cell r="J561" t="str">
            <v>Ensure no diesel outages to sites</v>
          </cell>
          <cell r="K561" t="str">
            <v>Achieve Average  PA &gt; 99.5% for every month staring August 2025 (refer to 'PA Glide Path' below)</v>
          </cell>
          <cell r="L561" t="str">
            <v>ARUN PANDA</v>
          </cell>
        </row>
        <row r="562">
          <cell r="A562">
            <v>38</v>
          </cell>
          <cell r="B562" t="str">
            <v>PAT00113</v>
          </cell>
          <cell r="C562" t="str">
            <v>ANTHONY OSAKWE</v>
          </cell>
          <cell r="D562" t="str">
            <v>Director, Technical</v>
          </cell>
          <cell r="E562" t="str">
            <v>Achieve high diesel supplier satisfaction with 85% satisfaction rate
 (measured through surveys and interviews)</v>
          </cell>
          <cell r="F562" t="str">
            <v>Achieve high diesel supplier satisfaction with 85% satisfaction rate
 (measured through surveys and interviews)</v>
          </cell>
          <cell r="H562">
            <v>0.05</v>
          </cell>
          <cell r="I562" t="str">
            <v>'0' outages/cycle</v>
          </cell>
          <cell r="J562" t="str">
            <v>Achieve high diesel supplier satisfaction with 85% satisfaction rate (measured through surveys and interviews)</v>
          </cell>
          <cell r="K562" t="str">
            <v xml:space="preserve">Make sure PAT scores highly in stakeholder satisfaction scores </v>
          </cell>
          <cell r="L562" t="str">
            <v>ARUN PANDA</v>
          </cell>
        </row>
        <row r="563">
          <cell r="A563">
            <v>38</v>
          </cell>
          <cell r="B563" t="str">
            <v>PAT00113</v>
          </cell>
          <cell r="C563" t="str">
            <v>ANTHONY OSAKWE</v>
          </cell>
          <cell r="D563" t="str">
            <v>Director, Technical</v>
          </cell>
          <cell r="E563" t="str">
            <v>MS Vendor SLA - Ensure penalties applied to ISMs for all breaches in SLAs Achieve high ops suppliers (non diesel) satisfaction with 85% satisfaction rate (measured through surveys and interviews)</v>
          </cell>
          <cell r="F563" t="str">
            <v>MS Vendor SLA - Ensure penalties applied to ISMs for all breaches in SLAs Achieve high ops suppliers (non diesel) satisfaction with 85% satisfaction rate (measured through surveys and interviews)</v>
          </cell>
          <cell r="G563">
            <v>0.1</v>
          </cell>
          <cell r="H563">
            <v>0.1</v>
          </cell>
          <cell r="I563">
            <v>1</v>
          </cell>
          <cell r="J563" t="str">
            <v>MS Vendor SLA - Ensure penalties applied to ISMs for all breaches in SLAs Achieve high ops suppliers (non diesel) satisfaction with 85% satisfaction rate (measured through surveys and interviews)</v>
          </cell>
          <cell r="K563" t="str">
            <v xml:space="preserve">Make sure PAT scores highly in stakeholder satisfaction scores </v>
          </cell>
          <cell r="L563" t="str">
            <v>ARUN PANDA</v>
          </cell>
        </row>
        <row r="564">
          <cell r="A564">
            <v>38</v>
          </cell>
          <cell r="B564" t="str">
            <v>PAT00113</v>
          </cell>
          <cell r="C564" t="str">
            <v>ANTHONY OSAKWE</v>
          </cell>
          <cell r="D564" t="str">
            <v>Director, Technical</v>
          </cell>
          <cell r="E564" t="str">
            <v>Ensure maintenance capex in line with budget</v>
          </cell>
          <cell r="F564" t="str">
            <v>Ensure maintenance capex in line with budget</v>
          </cell>
          <cell r="G564">
            <v>0.1</v>
          </cell>
          <cell r="H564">
            <v>0.1</v>
          </cell>
          <cell r="I564" t="str">
            <v>as per budget</v>
          </cell>
          <cell r="J564" t="str">
            <v>Ensure maintenance capex in line with budget</v>
          </cell>
          <cell r="K564" t="str">
            <v xml:space="preserve">Ensure cash balance in line with budget with no need for external funding </v>
          </cell>
          <cell r="L564" t="str">
            <v>ARUN PANDA</v>
          </cell>
        </row>
        <row r="565">
          <cell r="A565">
            <v>38</v>
          </cell>
          <cell r="B565" t="str">
            <v>PAT00113</v>
          </cell>
          <cell r="C565" t="str">
            <v>ANTHONY OSAKWE</v>
          </cell>
          <cell r="D565" t="str">
            <v>Director, Technical</v>
          </cell>
          <cell r="E565" t="str">
            <v>Ensure understanding of full quantum of diesel theft through various means (i.e., RMS, dry date shift etc.)</v>
          </cell>
          <cell r="F565" t="str">
            <v>Ensure understanding of full quantum of diesel theft through various means (i.e., RMS, dry date shift etc.)</v>
          </cell>
          <cell r="G565">
            <v>0.15</v>
          </cell>
          <cell r="H565">
            <v>0.15</v>
          </cell>
          <cell r="I565">
            <v>1</v>
          </cell>
          <cell r="J565" t="str">
            <v>Ensure understanding of full quantum of diesel theft through various means (i.e., RMS, dry date shift etc.)</v>
          </cell>
          <cell r="K565" t="str">
            <v>Deliver Gross Profit of NGN Bn 19 by Q4 2025 (and cumulative GP of NGN Bn 8.4 by Q2 2025)</v>
          </cell>
          <cell r="L565" t="str">
            <v>ARUN PANDA</v>
          </cell>
        </row>
        <row r="566">
          <cell r="A566">
            <v>38</v>
          </cell>
          <cell r="B566" t="str">
            <v>PAT00113</v>
          </cell>
          <cell r="C566" t="str">
            <v>ANTHONY OSAKWE</v>
          </cell>
          <cell r="D566" t="str">
            <v>Director, Technical</v>
          </cell>
          <cell r="E566" t="str">
            <v>Improve accuracy of diesel allocation by recording less diesel sustenance. Achieve 75% reduction in fuel drop on all RMS sites by Q4. FY diesel theft and dry date shift should not be more than 250m</v>
          </cell>
          <cell r="F566" t="str">
            <v>Improve accuracy of diesel allocation by recording less diesel sustenance. Achieve 75% reduction in fuel drop on all RMS sites by Q4. FY diesel theft and dry date shift should not be more than 250m</v>
          </cell>
          <cell r="G566">
            <v>0.15</v>
          </cell>
          <cell r="H566">
            <v>0.15</v>
          </cell>
          <cell r="I566">
            <v>1</v>
          </cell>
          <cell r="J566" t="str">
            <v>Improve accuracy of diesel allocation by recording less diesel sustenance. Achieve 75% reduction in fuel drop on all RMS sites by Q4. FY diesel theft and dry date shift should not be more than 250m</v>
          </cell>
          <cell r="K566" t="str">
            <v>Deliver Gross Profit of NGN Bn 19 by Q4 2025 (and cumulative GP of NGN Bn 8.4 by Q2 2025)</v>
          </cell>
          <cell r="L566" t="str">
            <v>ARUN PANDA</v>
          </cell>
        </row>
        <row r="567">
          <cell r="A567">
            <v>38</v>
          </cell>
          <cell r="B567" t="str">
            <v>PAT00113</v>
          </cell>
          <cell r="C567" t="str">
            <v>ANTHONY OSAKWE</v>
          </cell>
          <cell r="D567" t="str">
            <v>Director, Technical</v>
          </cell>
          <cell r="E567" t="str">
            <v>Ensure highly efficient NOC including Remote Monitoring System (RMS) installed and fully operational for 100% of new and existing sites</v>
          </cell>
          <cell r="F567" t="str">
            <v>Ensure highly efficient NOC including Remote Monitoring System (RMS) installed and fully operational for 100% of new and existing sites</v>
          </cell>
          <cell r="G567">
            <v>0.15</v>
          </cell>
          <cell r="H567">
            <v>0.15</v>
          </cell>
          <cell r="I567">
            <v>1</v>
          </cell>
          <cell r="J567" t="str">
            <v>Ensure highly efficient NOC including Remote Monitoring System (RMS) installed and fully operational for 100% of new and existing sites</v>
          </cell>
          <cell r="K567" t="str">
            <v>Deliver Gross Profit of NGN Bn 19 by Q4 2025 (and cumulative GP of NGN Bn 8.4 by Q2 2025)
Deliver uptime of 99.5% for 5 months of the year</v>
          </cell>
          <cell r="L567" t="str">
            <v>ARUN PANDA</v>
          </cell>
        </row>
        <row r="568">
          <cell r="A568">
            <v>38</v>
          </cell>
          <cell r="B568" t="str">
            <v>PAT00113</v>
          </cell>
          <cell r="C568" t="str">
            <v>ANTHONY OSAKWE</v>
          </cell>
          <cell r="D568" t="str">
            <v>Director, Technical</v>
          </cell>
          <cell r="E568" t="str">
            <v>Energy management - Ensure adequate billing for underbilled sites</v>
          </cell>
          <cell r="F568" t="str">
            <v>Energy management - Ensure adequate billing for underbilled sites</v>
          </cell>
          <cell r="G568">
            <v>0.1</v>
          </cell>
          <cell r="H568">
            <v>0.1</v>
          </cell>
          <cell r="I568">
            <v>1</v>
          </cell>
          <cell r="J568" t="str">
            <v>Energy management - Ensure adequate billing for underbilled sites</v>
          </cell>
          <cell r="K568" t="str">
            <v>Deliver Gross Profit of NGN Bn 19 by Q4 2025 (and cumulative GP of NGN Bn 8.4 by Q2 2025)
Deliver uptime of 99.5% for 5 months of the year</v>
          </cell>
          <cell r="L568" t="str">
            <v>ARUN PANDA</v>
          </cell>
        </row>
        <row r="569">
          <cell r="A569">
            <v>39</v>
          </cell>
          <cell r="B569" t="str">
            <v>PAT00110</v>
          </cell>
          <cell r="C569" t="str">
            <v>SWAPNIL MAHADIK</v>
          </cell>
          <cell r="D569" t="str">
            <v>GM, Operations</v>
          </cell>
          <cell r="E569" t="str">
            <v>Ensure average fault count &lt;70</v>
          </cell>
          <cell r="F569" t="str">
            <v>Ensure average fault count &lt;70</v>
          </cell>
          <cell r="G569">
            <v>0.25</v>
          </cell>
          <cell r="H569">
            <v>0.05</v>
          </cell>
          <cell r="I569" t="str">
            <v>&lt;70</v>
          </cell>
          <cell r="J569" t="str">
            <v>Ensure average fault count &lt;70</v>
          </cell>
          <cell r="K569" t="str">
            <v>Achieve Average  PA &gt; 99.5% for every month staring August 2025 (refer to 'PA Glide Path' below)</v>
          </cell>
          <cell r="L569" t="str">
            <v>ARUN PANDA</v>
          </cell>
        </row>
        <row r="570">
          <cell r="A570">
            <v>39</v>
          </cell>
          <cell r="B570" t="str">
            <v>PAT00110</v>
          </cell>
          <cell r="C570" t="str">
            <v>SWAPNIL MAHADIK</v>
          </cell>
          <cell r="D570" t="str">
            <v>GM, Operations</v>
          </cell>
          <cell r="E570" t="str">
            <v>Ensure MTTR &lt;120minutes</v>
          </cell>
          <cell r="F570" t="str">
            <v>Ensure MTTR &lt;120minutes</v>
          </cell>
          <cell r="H570">
            <v>0.05</v>
          </cell>
          <cell r="I570" t="str">
            <v>&lt;120min</v>
          </cell>
          <cell r="J570" t="str">
            <v>Ensure MTTR &lt;120minutes</v>
          </cell>
          <cell r="K570" t="str">
            <v>Achieve Average  PA &gt; 99.5% for every month staring August 2025 (refer to 'PA Glide Path' below)</v>
          </cell>
          <cell r="L570" t="str">
            <v>ARUN PANDA</v>
          </cell>
        </row>
        <row r="571">
          <cell r="A571">
            <v>39</v>
          </cell>
          <cell r="B571" t="str">
            <v>PAT00110</v>
          </cell>
          <cell r="C571" t="str">
            <v>SWAPNIL MAHADIK</v>
          </cell>
          <cell r="D571" t="str">
            <v>GM, Operations</v>
          </cell>
          <cell r="E571" t="str">
            <v>65% and above sites meeting PA &gt; 99.5%</v>
          </cell>
          <cell r="F571" t="str">
            <v>65% and above sites meeting PA &gt; 99.5%</v>
          </cell>
          <cell r="H571">
            <v>0.05</v>
          </cell>
          <cell r="I571">
            <v>0.65</v>
          </cell>
          <cell r="J571" t="str">
            <v>65% and above sites meeting PA &gt; 99.5%</v>
          </cell>
          <cell r="K571" t="str">
            <v>Achieve Average  PA &gt; 99.5% for every month staring August 2025 (refer to 'PA Glide Path' below)</v>
          </cell>
          <cell r="L571" t="str">
            <v>ARUN PANDA</v>
          </cell>
        </row>
        <row r="572">
          <cell r="A572">
            <v>39</v>
          </cell>
          <cell r="B572" t="str">
            <v>PAT00110</v>
          </cell>
          <cell r="C572" t="str">
            <v>SWAPNIL MAHADIK</v>
          </cell>
          <cell r="D572" t="str">
            <v>GM, Operations</v>
          </cell>
          <cell r="E572" t="str">
            <v>Ensure no diesel outages to sites</v>
          </cell>
          <cell r="F572" t="str">
            <v>Ensure no diesel outages to sites</v>
          </cell>
          <cell r="H572">
            <v>0.05</v>
          </cell>
          <cell r="I572">
            <v>0</v>
          </cell>
          <cell r="J572" t="str">
            <v>Ensure no diesel outages to sites</v>
          </cell>
          <cell r="K572" t="str">
            <v>Achieve Average  PA &gt; 99.5% for every month staring August 2025 (refer to 'PA Glide Path' below)</v>
          </cell>
          <cell r="L572" t="str">
            <v>ARUN PANDA</v>
          </cell>
        </row>
        <row r="573">
          <cell r="A573">
            <v>39</v>
          </cell>
          <cell r="B573" t="str">
            <v>PAT00110</v>
          </cell>
          <cell r="C573" t="str">
            <v>SWAPNIL MAHADIK</v>
          </cell>
          <cell r="D573" t="str">
            <v>GM, Operations</v>
          </cell>
          <cell r="E573" t="str">
            <v>Achieve high diesel supply satisfaction with 85% satisfaction rate
 (measured through surveys and interviews)</v>
          </cell>
          <cell r="F573" t="str">
            <v>Achieve high diesel supply satisfaction with 85% satisfaction rate
 (measured through surveys and interviews)</v>
          </cell>
          <cell r="H573">
            <v>0.05</v>
          </cell>
          <cell r="I573" t="str">
            <v>'0' outages/cycle</v>
          </cell>
          <cell r="J573" t="str">
            <v>Achieve high diesel supply satisfaction with 85% satisfaction rate (measured through surveys and interviews)</v>
          </cell>
          <cell r="K573" t="str">
            <v xml:space="preserve">Make sure PAT scores highly in stakeholder satisfaction scores </v>
          </cell>
          <cell r="L573" t="str">
            <v>ARUN PANDA</v>
          </cell>
        </row>
        <row r="574">
          <cell r="A574">
            <v>39</v>
          </cell>
          <cell r="B574" t="str">
            <v>PAT00110</v>
          </cell>
          <cell r="C574" t="str">
            <v>SWAPNIL MAHADIK</v>
          </cell>
          <cell r="D574" t="str">
            <v>GM, Operations</v>
          </cell>
          <cell r="E574" t="str">
            <v>MS Vendor SLA - Ensure penalties applied to ISMs for all breaches in SLAs Achieve high ops suppliers (non diesel) satisfaction with 85% satisfaction rate (measured through surveys and interviews)</v>
          </cell>
          <cell r="F574" t="str">
            <v>MS Vendor SLA - Ensure penalties applied to ISMs for all breaches in SLAs Achieve high ops suppliers (non diesel) satisfaction with 85% satisfaction rate (measured through surveys and interviews)</v>
          </cell>
          <cell r="G574">
            <v>0.1</v>
          </cell>
          <cell r="H574">
            <v>0.1</v>
          </cell>
          <cell r="I574">
            <v>1</v>
          </cell>
          <cell r="J574" t="str">
            <v>MS Vendor SLA - Ensure penalties applied to ISMs for all breaches in SLAs. Achieve high ops suppliers (non diesel) satisfaction with 85% satisfaction rate (measured through surveys and interviews)</v>
          </cell>
          <cell r="K574" t="str">
            <v xml:space="preserve">Make sure PAT scores highly in stakeholder satisfaction scores </v>
          </cell>
          <cell r="L574" t="str">
            <v>ARUN PANDA</v>
          </cell>
        </row>
        <row r="575">
          <cell r="A575">
            <v>39</v>
          </cell>
          <cell r="B575" t="str">
            <v>PAT00110</v>
          </cell>
          <cell r="C575" t="str">
            <v>SWAPNIL MAHADIK</v>
          </cell>
          <cell r="D575" t="str">
            <v>GM, Operations</v>
          </cell>
          <cell r="E575" t="str">
            <v>Ensure maintenance capex in line with budget</v>
          </cell>
          <cell r="F575" t="str">
            <v>Ensure maintenance capex in line with budget</v>
          </cell>
          <cell r="G575">
            <v>0.15</v>
          </cell>
          <cell r="H575">
            <v>0.15</v>
          </cell>
          <cell r="I575" t="str">
            <v>as per budget</v>
          </cell>
          <cell r="J575" t="str">
            <v>Ensure maintenance capex in line with budget</v>
          </cell>
          <cell r="K575" t="str">
            <v xml:space="preserve">Ensure cash balance in line with budget with no need for external funding </v>
          </cell>
          <cell r="L575" t="str">
            <v>ARUN PANDA</v>
          </cell>
        </row>
        <row r="576">
          <cell r="A576">
            <v>39</v>
          </cell>
          <cell r="B576" t="str">
            <v>PAT00110</v>
          </cell>
          <cell r="C576" t="str">
            <v>SWAPNIL MAHADIK</v>
          </cell>
          <cell r="D576" t="str">
            <v>GM, Operations</v>
          </cell>
          <cell r="E576" t="str">
            <v>Saving from Fuel - Grid Sites - Ensure grid connectivity is operational for all sites connected to the grid</v>
          </cell>
          <cell r="F576" t="str">
            <v>Saving from Fuel - Grid Sites - Ensure grid connectivity is operational for all sites connected to the grid</v>
          </cell>
          <cell r="G576">
            <v>0.15</v>
          </cell>
          <cell r="H576">
            <v>0.15</v>
          </cell>
          <cell r="I576">
            <v>1</v>
          </cell>
          <cell r="J576" t="str">
            <v>Saving from Fuel - Grid Sites - Ensure grid connectivity is operational for all sites connected to the grid</v>
          </cell>
          <cell r="K576" t="str">
            <v>Deliver Gross Profit of NGN Bn 19 by Q4 2025 (and cumulative GP of NGN Bn 8.4 by Q2 2025)</v>
          </cell>
          <cell r="L576" t="str">
            <v>ARUN PANDA</v>
          </cell>
        </row>
        <row r="577">
          <cell r="A577">
            <v>39</v>
          </cell>
          <cell r="B577" t="str">
            <v>PAT00110</v>
          </cell>
          <cell r="C577" t="str">
            <v>SWAPNIL MAHADIK</v>
          </cell>
          <cell r="D577" t="str">
            <v>GM, Operations</v>
          </cell>
          <cell r="E577" t="str">
            <v>OPEX saving from CNG operated Sites (as per the number of sites approved by the commitee)</v>
          </cell>
          <cell r="F577" t="str">
            <v>OPEX saving from CNG operated Sites (as per the number of sites approved by the commitee)</v>
          </cell>
          <cell r="G577">
            <v>0.1</v>
          </cell>
          <cell r="H577">
            <v>0.1</v>
          </cell>
          <cell r="I577">
            <v>1</v>
          </cell>
          <cell r="J577" t="str">
            <v>OPEX saving from CNG operated Sites (as per the number of sites approved by the commitee)</v>
          </cell>
          <cell r="K577" t="str">
            <v>Deliver Gross Profit of NGN Bn 19 by Q4 2025 (and cumulative GP of NGN Bn 8.4 by Q2 2025)</v>
          </cell>
          <cell r="L577" t="str">
            <v>ARUN PANDA</v>
          </cell>
        </row>
        <row r="578">
          <cell r="A578">
            <v>39</v>
          </cell>
          <cell r="B578" t="str">
            <v>PAT00110</v>
          </cell>
          <cell r="C578" t="str">
            <v>SWAPNIL MAHADIK</v>
          </cell>
          <cell r="D578" t="str">
            <v>GM, Operations</v>
          </cell>
          <cell r="E578" t="str">
            <v>Saving from Fuel - DG-Battery Hybrid Sites - Connect 150 Sites</v>
          </cell>
          <cell r="F578" t="str">
            <v>Saving from Fuel - DG-Battery Hybrid Sites - Connect 150 Sites</v>
          </cell>
          <cell r="G578">
            <v>0.1</v>
          </cell>
          <cell r="H578">
            <v>0.1</v>
          </cell>
          <cell r="I578">
            <v>1</v>
          </cell>
          <cell r="J578" t="str">
            <v>Saving from Fuel - DG-Battery Hybrid Sites - Connect 150 Sites</v>
          </cell>
          <cell r="K578" t="str">
            <v>Deliver Gross Profit of NGN Bn 19 by Q4 2025 (and cumulative GP of NGN Bn 8.4 by Q2 2025)</v>
          </cell>
          <cell r="L578" t="str">
            <v>ARUN PANDA</v>
          </cell>
        </row>
        <row r="579">
          <cell r="A579">
            <v>39</v>
          </cell>
          <cell r="B579" t="str">
            <v>PAT00110</v>
          </cell>
          <cell r="C579" t="str">
            <v>SWAPNIL MAHADIK</v>
          </cell>
          <cell r="D579" t="str">
            <v>GM, Operations</v>
          </cell>
          <cell r="E579" t="str">
            <v>Improve accuracy of diesel allocation by recording less diesel sustenance. Achieve 75% reduction in fuel drop on all RMS sites by Q4. FY diesel theft and dry date shift should not be more than 250m</v>
          </cell>
          <cell r="F579" t="str">
            <v>Improve accuracy of diesel allocation by recording less diesel sustenance. Achieve 75% reduction in fuel drop on all RMS sites by Q4. FY diesel theft and dry date shift should not be more than 250m</v>
          </cell>
          <cell r="G579">
            <v>0.15</v>
          </cell>
          <cell r="H579">
            <v>0.15</v>
          </cell>
          <cell r="I579">
            <v>1</v>
          </cell>
          <cell r="J579" t="str">
            <v>Improve accuracy of diesel consumption by recording less diesel sustenance. Achieve 75% reduction in fuel drop on all RMS sites by Q4. FY diesel theft and dry date shift should not be more than 250m</v>
          </cell>
          <cell r="K579" t="str">
            <v>Deliver Gross Profit of NGN Bn 19 by Q4 2025 (and cumulative GP of NGN Bn 8.4 by Q2 2025)</v>
          </cell>
          <cell r="L579" t="str">
            <v>ARUN PANDA</v>
          </cell>
        </row>
        <row r="580">
          <cell r="A580">
            <v>40</v>
          </cell>
          <cell r="B580" t="str">
            <v>PAT00171</v>
          </cell>
          <cell r="C580" t="str">
            <v>MURTALA ABDULMUMIN</v>
          </cell>
          <cell r="D580" t="str">
            <v>GM, Service Assurance</v>
          </cell>
          <cell r="E580" t="str">
            <v>Ensure average fault count &lt;70</v>
          </cell>
          <cell r="F580" t="str">
            <v>Ensure average fault count &lt;70</v>
          </cell>
          <cell r="G580">
            <v>0.1</v>
          </cell>
          <cell r="H580">
            <v>0.1</v>
          </cell>
          <cell r="I580" t="str">
            <v>&lt;70</v>
          </cell>
          <cell r="J580" t="str">
            <v>Ensure average fault count &lt;70</v>
          </cell>
          <cell r="K580" t="str">
            <v>Achieve Average  PA &gt; 99.5% for every month staring August 2025 (refer to 'PA Glide Path' below)</v>
          </cell>
          <cell r="L580" t="str">
            <v>ANTHONY OSAKWE</v>
          </cell>
        </row>
        <row r="581">
          <cell r="A581">
            <v>40</v>
          </cell>
          <cell r="B581" t="str">
            <v>PAT00171</v>
          </cell>
          <cell r="C581" t="str">
            <v>MURTALA ABDULMUMIN</v>
          </cell>
          <cell r="D581" t="str">
            <v>GM, Service Assurance</v>
          </cell>
          <cell r="E581" t="str">
            <v>Ensure MTTR &lt;120minutes</v>
          </cell>
          <cell r="F581" t="str">
            <v>Ensure MTTR &lt;120minutes</v>
          </cell>
          <cell r="G581">
            <v>0.1</v>
          </cell>
          <cell r="H581">
            <v>0.1</v>
          </cell>
          <cell r="I581" t="str">
            <v>&lt;120min</v>
          </cell>
          <cell r="J581" t="str">
            <v>Ensure MTTR &lt;120minutes</v>
          </cell>
          <cell r="K581" t="str">
            <v>Achieve Average  PA &gt; 99.5% for every month staring August 2025 (refer to 'PA Glide Path' below)</v>
          </cell>
          <cell r="L581" t="str">
            <v>ANTHONY OSAKWE</v>
          </cell>
        </row>
        <row r="582">
          <cell r="A582">
            <v>40</v>
          </cell>
          <cell r="B582" t="str">
            <v>PAT00171</v>
          </cell>
          <cell r="C582" t="str">
            <v>MURTALA ABDULMUMIN</v>
          </cell>
          <cell r="D582" t="str">
            <v>GM, Service Assurance</v>
          </cell>
          <cell r="E582" t="str">
            <v>65% and above sites meeting PA &gt; 99.5%</v>
          </cell>
          <cell r="F582" t="str">
            <v>65% and above sites meeting PA &gt; 99.5%</v>
          </cell>
          <cell r="G582">
            <v>0.1</v>
          </cell>
          <cell r="H582">
            <v>0.1</v>
          </cell>
          <cell r="I582">
            <v>0.65</v>
          </cell>
          <cell r="J582" t="str">
            <v>65% and above sites meeting PA &gt; 99.5%</v>
          </cell>
          <cell r="K582" t="str">
            <v>Achieve Average  PA &gt; 99.5% for every month staring August 2025 (refer to 'PA Glide Path' below)</v>
          </cell>
          <cell r="L582" t="str">
            <v>ANTHONY OSAKWE</v>
          </cell>
        </row>
        <row r="583">
          <cell r="A583">
            <v>40</v>
          </cell>
          <cell r="B583" t="str">
            <v>PAT00171</v>
          </cell>
          <cell r="C583" t="str">
            <v>MURTALA ABDULMUMIN</v>
          </cell>
          <cell r="D583" t="str">
            <v>GM, Service Assurance</v>
          </cell>
          <cell r="E583" t="str">
            <v>Ensure maintenance capex in line with budget</v>
          </cell>
          <cell r="F583" t="str">
            <v>Ensure maintenance capex in line with budget</v>
          </cell>
          <cell r="G583">
            <v>0.1</v>
          </cell>
          <cell r="H583">
            <v>0.1</v>
          </cell>
          <cell r="I583" t="str">
            <v>as per budget</v>
          </cell>
          <cell r="J583" t="str">
            <v>Ensure maintenance capex in line with budget</v>
          </cell>
          <cell r="K583" t="str">
            <v xml:space="preserve">Ensure cash balance in line with budget with no need for external funding </v>
          </cell>
          <cell r="L583" t="str">
            <v>ANTHONY OSAKWE</v>
          </cell>
        </row>
        <row r="584">
          <cell r="A584">
            <v>40</v>
          </cell>
          <cell r="B584" t="str">
            <v>PAT00171</v>
          </cell>
          <cell r="C584" t="str">
            <v>MURTALA ABDULMUMIN</v>
          </cell>
          <cell r="D584" t="str">
            <v>GM, Service Assurance</v>
          </cell>
          <cell r="E584" t="str">
            <v>Saving from Fuel - Grid Sites - Ensure RMS connectivity is operational for all sites connected to the grid</v>
          </cell>
          <cell r="F584" t="str">
            <v>Saving from Fuel - Grid Sites - Ensure RMS connectivity is operational for all sites connected to the grid</v>
          </cell>
          <cell r="G584">
            <v>0.1</v>
          </cell>
          <cell r="H584">
            <v>0.1</v>
          </cell>
          <cell r="I584">
            <v>1</v>
          </cell>
          <cell r="J584" t="str">
            <v>Saving from Fuel - Grid Sites - Ensure RMS connectivity is operational for all sites connected to the grid</v>
          </cell>
          <cell r="K584" t="str">
            <v>Deliver Gross Profit of NGN Bn 19 by Q4 2025 (and cumulative GP of NGN Bn 8.4 by Q2 2025)</v>
          </cell>
          <cell r="L584" t="str">
            <v>ANTHONY OSAKWE</v>
          </cell>
        </row>
        <row r="585">
          <cell r="A585">
            <v>40</v>
          </cell>
          <cell r="B585" t="str">
            <v>PAT00171</v>
          </cell>
          <cell r="C585" t="str">
            <v>MURTALA ABDULMUMIN</v>
          </cell>
          <cell r="D585" t="str">
            <v>GM, Service Assurance</v>
          </cell>
          <cell r="E585" t="str">
            <v>OPEX saving from CNG operated Sites (as per the number of sites approved by the commitee)</v>
          </cell>
          <cell r="F585" t="str">
            <v>OPEX saving from CNG operated Sites (as per the number of sites approved by the commitee)</v>
          </cell>
          <cell r="G585">
            <v>0.05</v>
          </cell>
          <cell r="H585">
            <v>0.05</v>
          </cell>
          <cell r="I585">
            <v>1</v>
          </cell>
          <cell r="J585" t="str">
            <v>OPEX saving from CNG operated Sites (as per the number of sites approved by the commitee)</v>
          </cell>
          <cell r="K585" t="str">
            <v>Deliver Gross Profit of NGN Bn 19 by Q4 2025 (and cumulative GP of NGN Bn 8.4 by Q2 2025)</v>
          </cell>
          <cell r="L585" t="str">
            <v>ANTHONY OSAKWE</v>
          </cell>
        </row>
        <row r="586">
          <cell r="A586">
            <v>40</v>
          </cell>
          <cell r="B586" t="str">
            <v>PAT00171</v>
          </cell>
          <cell r="C586" t="str">
            <v>MURTALA ABDULMUMIN</v>
          </cell>
          <cell r="D586" t="str">
            <v>GM, Service Assurance</v>
          </cell>
          <cell r="E586" t="str">
            <v>Saving from Fuel - DG-Battery Hybrid Sites - Connect 150 Sites</v>
          </cell>
          <cell r="F586" t="str">
            <v>Saving from Fuel - DG-Battery Hybrid Sites - Connect 150 Sites</v>
          </cell>
          <cell r="G586">
            <v>0.1</v>
          </cell>
          <cell r="H586">
            <v>0.1</v>
          </cell>
          <cell r="I586">
            <v>1</v>
          </cell>
          <cell r="J586" t="str">
            <v>Saving from Fuel - DG-Battery Hybrid Sites - Connect 150 Sites</v>
          </cell>
          <cell r="K586" t="str">
            <v>Deliver Gross Profit of NGN Bn 19 by Q4 2025 (and cumulative GP of NGN Bn 8.4 by Q2 2025)</v>
          </cell>
          <cell r="L586" t="str">
            <v>ANTHONY OSAKWE</v>
          </cell>
        </row>
        <row r="587">
          <cell r="A587">
            <v>40</v>
          </cell>
          <cell r="B587" t="str">
            <v>PAT00171</v>
          </cell>
          <cell r="C587" t="str">
            <v>MURTALA ABDULMUMIN</v>
          </cell>
          <cell r="D587" t="str">
            <v>GM, Service Assurance</v>
          </cell>
          <cell r="E587" t="str">
            <v>Ensure understanding of full quantum of diesel theft through various means (i.e., RMS, dry date shift etc.)</v>
          </cell>
          <cell r="F587" t="str">
            <v>Ensure understanding of full quantum of diesel theft through various means (i.e., RMS, dry date shift etc.)</v>
          </cell>
          <cell r="G587">
            <v>0.1</v>
          </cell>
          <cell r="H587">
            <v>0.1</v>
          </cell>
          <cell r="J587" t="str">
            <v>Ensure understanding of full quantum of diesel theft through various means (i.e., RMS, dry date shift etc.)</v>
          </cell>
          <cell r="K587" t="str">
            <v>Deliver Gross Profit of NGN Bn 19 by Q4 2025 (and cumulative GP of NGN Bn 8.4 by Q2 2025)</v>
          </cell>
          <cell r="L587" t="str">
            <v>ANTHONY OSAKWE</v>
          </cell>
        </row>
        <row r="588">
          <cell r="A588">
            <v>40</v>
          </cell>
          <cell r="B588" t="str">
            <v>PAT00171</v>
          </cell>
          <cell r="C588" t="str">
            <v>MURTALA ABDULMUMIN</v>
          </cell>
          <cell r="D588" t="str">
            <v>GM, Service Assurance</v>
          </cell>
          <cell r="E588" t="str">
            <v>Ensure highly efficient NOC including Remote Monitoring System (RMS) installed and fully operational for 100% of new and existing sites</v>
          </cell>
          <cell r="F588" t="str">
            <v>Ensure highly efficient NOC including Remote Monitoring System (RMS) installed and fully operational for 100% of new and existing sites</v>
          </cell>
          <cell r="G588">
            <v>0.15</v>
          </cell>
          <cell r="H588">
            <v>0.15</v>
          </cell>
          <cell r="I588">
            <v>1</v>
          </cell>
          <cell r="J588" t="str">
            <v>Ensure highly efficient NOC including Remote Monitoring System (RMS) installed and fully operational for 100% of new and existing sites</v>
          </cell>
          <cell r="K588" t="str">
            <v>Deliver Gross Profit of NGN Bn 19 by Q4 2025 (and cumulative GP of NGN Bn 8.4 by Q2 2025)
Deliver uptime of 99.5% for 5 months of the year</v>
          </cell>
          <cell r="L588" t="str">
            <v>ANTHONY OSAKWE</v>
          </cell>
        </row>
        <row r="589">
          <cell r="A589">
            <v>40</v>
          </cell>
          <cell r="B589" t="str">
            <v>PAT00171</v>
          </cell>
          <cell r="C589" t="str">
            <v>MURTALA ABDULMUMIN</v>
          </cell>
          <cell r="D589" t="str">
            <v>GM, Service Assurance</v>
          </cell>
          <cell r="E589" t="str">
            <v>Energy management - Ensure adequate billing for underbilled sites</v>
          </cell>
          <cell r="F589" t="str">
            <v>Energy management - Ensure adequate billing for underbilled sites</v>
          </cell>
          <cell r="G589">
            <v>0.1</v>
          </cell>
          <cell r="H589">
            <v>0.1</v>
          </cell>
          <cell r="I589">
            <v>1</v>
          </cell>
          <cell r="J589" t="str">
            <v>Energy management - Ensure 100% energy consumption data for tenants connected on RMS (Airtel &amp; MTN)</v>
          </cell>
          <cell r="K589" t="str">
            <v>Deliver Gross Profit of NGN Bn 19 by Q4 2025 (and cumulative GP of NGN Bn 8.4 by Q2 2025)
Deliver uptime of 99.5% for 5 months of the year</v>
          </cell>
          <cell r="L589" t="str">
            <v>ANTHONY OSAKWE</v>
          </cell>
        </row>
        <row r="590">
          <cell r="A590">
            <v>41</v>
          </cell>
          <cell r="B590" t="str">
            <v>PAT00001</v>
          </cell>
          <cell r="C590" t="str">
            <v xml:space="preserve">OLAONIPEKUN IKUOMOLA </v>
          </cell>
          <cell r="D590" t="str">
            <v>Head, Project</v>
          </cell>
          <cell r="E590" t="str">
            <v>Ensure growth capex in line with budget</v>
          </cell>
          <cell r="F590" t="str">
            <v>Ensure growth capex in line with budget</v>
          </cell>
          <cell r="G590">
            <v>0.2</v>
          </cell>
          <cell r="H590">
            <v>0.2</v>
          </cell>
          <cell r="I590" t="str">
            <v>as per budget</v>
          </cell>
          <cell r="J590" t="str">
            <v>Ensure growth capex in line with budget</v>
          </cell>
          <cell r="K590" t="str">
            <v xml:space="preserve">Ensure cash balance in line with budget with no need for external funding </v>
          </cell>
          <cell r="L590" t="str">
            <v>ARUN PANDA</v>
          </cell>
        </row>
        <row r="591">
          <cell r="A591">
            <v>41</v>
          </cell>
          <cell r="B591" t="str">
            <v>PAT00001</v>
          </cell>
          <cell r="C591" t="str">
            <v xml:space="preserve">OLAONIPEKUN IKUOMOLA </v>
          </cell>
          <cell r="D591" t="str">
            <v>Head, Project</v>
          </cell>
          <cell r="E591" t="str">
            <v>Ensure new tower rollout timing in line with agreed upon SLAs 35days for BTS &amp; re-built site</v>
          </cell>
          <cell r="F591" t="str">
            <v>Ensure new tower rollout timing in line with agreed upon SLAs 35days for BTS &amp; re-built site</v>
          </cell>
          <cell r="G591">
            <v>0.25</v>
          </cell>
          <cell r="H591">
            <v>0.25</v>
          </cell>
          <cell r="J591" t="str">
            <v>Ensure new tower rollout timing in line with agreed upon SLAs 35days for BTS &amp; re-built site</v>
          </cell>
          <cell r="K591" t="str">
            <v xml:space="preserve">Ensure cash balance in line with budget with no need for external funding </v>
          </cell>
          <cell r="L591" t="str">
            <v>ARUN PANDA</v>
          </cell>
        </row>
        <row r="592">
          <cell r="A592">
            <v>41</v>
          </cell>
          <cell r="B592" t="str">
            <v>PAT00001</v>
          </cell>
          <cell r="C592" t="str">
            <v xml:space="preserve">OLAONIPEKUN IKUOMOLA </v>
          </cell>
          <cell r="D592" t="str">
            <v>Head, Project</v>
          </cell>
          <cell r="E592" t="str">
            <v>Ensure new tower rollout timing in line with agreed upon SLAs 10days for COLO upgrade</v>
          </cell>
          <cell r="F592" t="str">
            <v>Ensure new tower rollout timing in line with agreed upon SLAs 10days for COLO upgrade</v>
          </cell>
          <cell r="G592">
            <v>0.15</v>
          </cell>
          <cell r="H592">
            <v>0.15</v>
          </cell>
          <cell r="I592">
            <v>1</v>
          </cell>
          <cell r="J592" t="str">
            <v>Ensure new tower rollout timing in line with agreed upon SLAs 10days for COLO upgrade</v>
          </cell>
          <cell r="K592" t="str">
            <v>Deliver Gross Profit of NGN Bn 19 by Q4 2025 (and cumulative GP of NGN Bn 8.4 by Q2 2025)</v>
          </cell>
          <cell r="L592" t="str">
            <v>ARUN PANDA</v>
          </cell>
        </row>
        <row r="593">
          <cell r="A593">
            <v>41</v>
          </cell>
          <cell r="B593" t="str">
            <v>PAT00001</v>
          </cell>
          <cell r="C593" t="str">
            <v xml:space="preserve">OLAONIPEKUN IKUOMOLA </v>
          </cell>
          <cell r="D593" t="str">
            <v>Head, Project</v>
          </cell>
          <cell r="E593" t="str">
            <v>Ensure new tower rollout fully complies with agreed upon site layout</v>
          </cell>
          <cell r="F593" t="str">
            <v>Ensure new tower rollout fully complies with agreed upon site layout</v>
          </cell>
          <cell r="G593">
            <v>0.15</v>
          </cell>
          <cell r="H593">
            <v>0.15</v>
          </cell>
          <cell r="I593">
            <v>1</v>
          </cell>
          <cell r="J593" t="str">
            <v>Ensure new tower rollout fully complies with agreed upon site layout</v>
          </cell>
          <cell r="K593" t="str">
            <v>Deliver Gross Profit of NGN Bn 19 by Q4 2025 (and cumulative GP of NGN Bn 8.4 by Q2 2025)</v>
          </cell>
          <cell r="L593" t="str">
            <v>ARUN PANDA</v>
          </cell>
        </row>
        <row r="594">
          <cell r="A594">
            <v>41</v>
          </cell>
          <cell r="B594" t="str">
            <v>PAT00001</v>
          </cell>
          <cell r="C594" t="str">
            <v xml:space="preserve">OLAONIPEKUN IKUOMOLA </v>
          </cell>
          <cell r="D594" t="str">
            <v>Head, Project</v>
          </cell>
          <cell r="E594" t="str">
            <v>Ensure 100% annual tower preventive maintenance</v>
          </cell>
          <cell r="F594" t="str">
            <v>Ensure 100% annual tower preventive maintenance</v>
          </cell>
          <cell r="G594">
            <v>0.25</v>
          </cell>
          <cell r="H594">
            <v>0.25</v>
          </cell>
          <cell r="J594" t="str">
            <v>Ensure 100% annual tower preventive maintenance</v>
          </cell>
          <cell r="K594" t="str">
            <v>Deliver Gross Profit of NGN Bn 19 by Q4 2025 (and cumulative GP of NGN Bn 8.4 by Q2 2025)</v>
          </cell>
          <cell r="L594" t="str">
            <v>ARUN PANDA</v>
          </cell>
        </row>
        <row r="595">
          <cell r="A595">
            <v>42</v>
          </cell>
          <cell r="B595" t="str">
            <v>PAT00007</v>
          </cell>
          <cell r="C595" t="str">
            <v xml:space="preserve">EYITAYO KOLAWOLE </v>
          </cell>
          <cell r="D595" t="str">
            <v>Diesel Coordinator</v>
          </cell>
          <cell r="E595" t="str">
            <v>Ensure no diesel outages to sites</v>
          </cell>
          <cell r="F595" t="str">
            <v>Ensure no diesel outages to sites</v>
          </cell>
          <cell r="G595">
            <v>0.2</v>
          </cell>
          <cell r="H595">
            <v>0.2</v>
          </cell>
          <cell r="J595" t="str">
            <v>Ensure no diesel outages to sites</v>
          </cell>
          <cell r="K595" t="str">
            <v>Achieve Average  PA &gt; 99.5% for every month staring August 2025 (refer to 'PA Glide Path' below)</v>
          </cell>
          <cell r="L595" t="str">
            <v>ANTHONY OSAKWE</v>
          </cell>
        </row>
        <row r="596">
          <cell r="A596">
            <v>42</v>
          </cell>
          <cell r="B596" t="str">
            <v>PAT00007</v>
          </cell>
          <cell r="C596" t="str">
            <v xml:space="preserve">EYITAYO KOLAWOLE </v>
          </cell>
          <cell r="D596" t="str">
            <v>Diesel Coordinator</v>
          </cell>
          <cell r="E596" t="str">
            <v>Ensure understanding of full quantum of diesel theft through various means (i.e., RMS, dry date shift etc.)</v>
          </cell>
          <cell r="F596" t="str">
            <v>Ensure understanding of full quantum of diesel theft through various means (i.e., RMS, dry date shift etc.)</v>
          </cell>
          <cell r="G596">
            <v>0.1</v>
          </cell>
          <cell r="H596">
            <v>0.1</v>
          </cell>
          <cell r="J596" t="str">
            <v>Ensure understanding of full quantum of diesel theft through various means (i.e., RMS, dry date shift etc.)</v>
          </cell>
          <cell r="K596" t="str">
            <v>Deliver Gross Profit of NGN Bn 19 by Q4 2025 (and cumulative GP of NGN Bn 8.4 by Q2 2025)</v>
          </cell>
          <cell r="L596" t="str">
            <v>ANTHONY OSAKWE</v>
          </cell>
        </row>
        <row r="597">
          <cell r="A597">
            <v>42</v>
          </cell>
          <cell r="B597" t="str">
            <v>PAT00007</v>
          </cell>
          <cell r="C597" t="str">
            <v xml:space="preserve">EYITAYO KOLAWOLE </v>
          </cell>
          <cell r="D597" t="str">
            <v>Diesel Coordinator</v>
          </cell>
          <cell r="E597" t="str">
            <v>Improve accuracy of diesel allocation by recording less diesel sustenance. Achieve 75% reduction in fuel drop on all RMS sites by Q4. FY diesel theft and dry date shift should not be more than 250m</v>
          </cell>
          <cell r="F597" t="str">
            <v>Improve accuracy of diesel allocation by recording less diesel sustenance. Achieve 75% reduction in fuel drop on all RMS sites by Q4. FY diesel theft and dry date shift should not be more than 250m</v>
          </cell>
          <cell r="G597">
            <v>0.2</v>
          </cell>
          <cell r="H597">
            <v>0.2</v>
          </cell>
          <cell r="J597" t="str">
            <v>Improve accuracy of diesel allocation by recording less diesel sustenance. Achieve 75% reduction in fuel drop on all RMS sites by Q4. FY diesel theft and dry date shift should not be more than 250m</v>
          </cell>
          <cell r="K597" t="str">
            <v>Deliver Gross Profit of NGN Bn 19 by Q4 2025 (and cumulative GP of NGN Bn 8.4 by Q2 2025)</v>
          </cell>
          <cell r="L597" t="str">
            <v>ANTHONY OSAKWE</v>
          </cell>
        </row>
        <row r="598">
          <cell r="A598">
            <v>42</v>
          </cell>
          <cell r="B598" t="str">
            <v>PAT00007</v>
          </cell>
          <cell r="C598" t="str">
            <v xml:space="preserve">EYITAYO KOLAWOLE </v>
          </cell>
          <cell r="D598" t="str">
            <v>Diesel Coordinator</v>
          </cell>
          <cell r="E598" t="str">
            <v>Ensure approved diesel allocation is sent to the supplier, 7 days to the commencement of supply, currently 24th of ever month.</v>
          </cell>
          <cell r="F598" t="str">
            <v>Ensure approved diesel allocation is sent to the supplier, 7 days to the commencement of supply, currently 24th of ever month.</v>
          </cell>
          <cell r="G598">
            <v>0.15</v>
          </cell>
          <cell r="H598">
            <v>0.15</v>
          </cell>
          <cell r="J598" t="str">
            <v>Ensure approved diesel allocation is sent to the supplier, 7 days to the commencement of supply, currently 24th of ever month.</v>
          </cell>
          <cell r="K598" t="str">
            <v>Deliver Gross Profit of NGN Bn 19 by Q4 2025 (and cumulative GP of NGN Bn 8.4 by Q2 2025)</v>
          </cell>
          <cell r="L598" t="str">
            <v>ANTHONY OSAKWE</v>
          </cell>
        </row>
        <row r="599">
          <cell r="A599">
            <v>42</v>
          </cell>
          <cell r="B599" t="str">
            <v>PAT00007</v>
          </cell>
          <cell r="C599" t="str">
            <v xml:space="preserve">EYITAYO KOLAWOLE </v>
          </cell>
          <cell r="D599" t="str">
            <v>Diesel Coordinator</v>
          </cell>
          <cell r="E599" t="str">
            <v>Ensure accuracy of diesel consumption per day (CPD) on sites without RMS. Visit five sites per month to physically calculate the CPD.</v>
          </cell>
          <cell r="F599" t="str">
            <v>Ensure accuracy of diesel consumption per day (CPD) on sites without RMS. Visit five sites per month to physically calculate the CPD.</v>
          </cell>
          <cell r="G599">
            <v>0.15</v>
          </cell>
          <cell r="H599">
            <v>0.15</v>
          </cell>
          <cell r="J599" t="str">
            <v>Ensure accuracy of diesel consumption per day (CPD) on sites without RMS. Visit five sites per month to physically calculate the CPD.</v>
          </cell>
          <cell r="K599" t="str">
            <v>Deliver Gross Profit of NGN Bn 19 by Q4 2025 (and cumulative GP of NGN Bn 8.4 by Q2 2025)</v>
          </cell>
          <cell r="L599" t="str">
            <v>ANTHONY OSAKWE</v>
          </cell>
        </row>
        <row r="600">
          <cell r="A600">
            <v>42</v>
          </cell>
          <cell r="B600" t="str">
            <v>PAT00007</v>
          </cell>
          <cell r="C600" t="str">
            <v xml:space="preserve">EYITAYO KOLAWOLE </v>
          </cell>
          <cell r="D600" t="str">
            <v>Diesel Coordinator</v>
          </cell>
          <cell r="E600" t="str">
            <v>Ensure reduction of diesel allocation to sites with new DGs and Grid availability</v>
          </cell>
          <cell r="F600" t="str">
            <v>Ensure reduction of diesel allocation to sites with new DGs and Grid availability</v>
          </cell>
          <cell r="G600">
            <v>0.05</v>
          </cell>
          <cell r="H600">
            <v>0.05</v>
          </cell>
          <cell r="J600" t="str">
            <v>Ensure reduction of diesel allocation to sites with new DGs and Grid availability</v>
          </cell>
          <cell r="K600" t="str">
            <v>Deliver Gross Profit of NGN Bn 19 by Q4 2025 (and cumulative GP of NGN Bn 8.4 by Q2 2025)</v>
          </cell>
          <cell r="L600" t="str">
            <v>ANTHONY OSAKWE</v>
          </cell>
        </row>
        <row r="601">
          <cell r="A601">
            <v>42</v>
          </cell>
          <cell r="B601" t="str">
            <v>PAT00007</v>
          </cell>
          <cell r="C601" t="str">
            <v xml:space="preserve">EYITAYO KOLAWOLE </v>
          </cell>
          <cell r="D601" t="str">
            <v>Diesel Coordinator</v>
          </cell>
          <cell r="E601" t="str">
            <v>Achieve high diesel supply satisfaction with 95% satisfaction rate
 (measured through surveys and interviews)</v>
          </cell>
          <cell r="F601" t="str">
            <v>Achieve high diesel supply satisfaction with 95% satisfaction rate
 (measured through surveys and interviews)</v>
          </cell>
          <cell r="G601">
            <v>0.1</v>
          </cell>
          <cell r="H601">
            <v>0.1</v>
          </cell>
          <cell r="J601" t="str">
            <v>Achieve high diesel supply satisfaction with 95% satisfaction rate
 (measured through surveys and interviews)</v>
          </cell>
          <cell r="L601" t="str">
            <v>ANTHONY OSAKWE</v>
          </cell>
        </row>
        <row r="602">
          <cell r="A602">
            <v>42</v>
          </cell>
          <cell r="B602" t="str">
            <v>PAT00007</v>
          </cell>
          <cell r="C602" t="str">
            <v xml:space="preserve">EYITAYO KOLAWOLE </v>
          </cell>
          <cell r="D602" t="str">
            <v>Diesel Coordinator</v>
          </cell>
          <cell r="E602" t="str">
            <v>Ensure debt notes are issued to ISMs or Security Company on cases of missing diesel within 24hrs</v>
          </cell>
          <cell r="F602" t="str">
            <v>Ensure debt notes are issued to ISMs or Security Company on cases of missing diesel within 24hrs</v>
          </cell>
          <cell r="G602">
            <v>0.05</v>
          </cell>
          <cell r="H602">
            <v>0.05</v>
          </cell>
          <cell r="J602" t="str">
            <v>Ensure debt notes are issued to ISMs or Security Company on cases of missing diesel within 24hrs</v>
          </cell>
          <cell r="K602" t="str">
            <v>Deliver Gross Profit of NGN Bn 19 by Q4 2025 (and cumulative GP of NGN Bn 8.4 by Q2 2025)</v>
          </cell>
          <cell r="L602" t="str">
            <v>ANTHONY OSAKWE</v>
          </cell>
        </row>
        <row r="603">
          <cell r="A603">
            <v>43</v>
          </cell>
          <cell r="B603" t="str">
            <v>PAT00054</v>
          </cell>
          <cell r="C603" t="str">
            <v>ADEGBENRO AJEGUNMA</v>
          </cell>
          <cell r="D603" t="str">
            <v>Head Security</v>
          </cell>
          <cell r="E603" t="str">
            <v>Ensure installation of CCTV at 100 sites before end of December 2025</v>
          </cell>
          <cell r="F603" t="str">
            <v>Ensure installation of CCTV at 100 sites before end of December 2025</v>
          </cell>
          <cell r="G603">
            <v>0.15</v>
          </cell>
          <cell r="H603">
            <v>0.15</v>
          </cell>
          <cell r="J603" t="str">
            <v>Ensure installation of CCTV at 100 sites before end of December 2025</v>
          </cell>
          <cell r="K603" t="str">
            <v>Achieve Average  PA &gt; 99.5% for every month staring August 2025 (refer to 'PA Glide Path' below)</v>
          </cell>
          <cell r="L603" t="str">
            <v>ANTHONY OSAKWE</v>
          </cell>
        </row>
        <row r="604">
          <cell r="A604">
            <v>43</v>
          </cell>
          <cell r="B604" t="str">
            <v>PAT00054</v>
          </cell>
          <cell r="C604" t="str">
            <v>ADEGBENRO AJEGUNMA</v>
          </cell>
          <cell r="D604" t="str">
            <v>Head Security</v>
          </cell>
          <cell r="E604" t="str">
            <v>Ensure installation of smart access control (including setting up of security NOC) on all PAT sites before end of December 2025 in line with approved budget and 100% adherance to the security guidelines on vistor log books on site</v>
          </cell>
          <cell r="F604" t="str">
            <v>Ensure installation of smart access control (including setting up of security NOC) on all PAT sites before end of December 2025 in line with approved budget and 100% adherance to the security guidelines on vistor log books on site</v>
          </cell>
          <cell r="G604">
            <v>0.15</v>
          </cell>
          <cell r="H604">
            <v>0.15</v>
          </cell>
          <cell r="J604" t="str">
            <v>Ensure installation of smart access control on all PAT sites before end of December 2025 in line with approved budget</v>
          </cell>
          <cell r="K604" t="str">
            <v>Achieve Average  PA &gt; 99.5% for every month staring August 2025 (refer to 'PA Glide Path' below)</v>
          </cell>
          <cell r="L604" t="str">
            <v>ANTHONY OSAKWE</v>
          </cell>
        </row>
        <row r="605">
          <cell r="A605">
            <v>43</v>
          </cell>
          <cell r="B605" t="str">
            <v>PAT00054</v>
          </cell>
          <cell r="C605" t="str">
            <v>ADEGBENRO AJEGUNMA</v>
          </cell>
          <cell r="D605" t="str">
            <v>Head Security</v>
          </cell>
          <cell r="E605" t="str">
            <v>Ensure note more than 5 security payment related issues arise monthly</v>
          </cell>
          <cell r="F605" t="str">
            <v>Ensure note more than 5 security payment related issues arise monthly</v>
          </cell>
          <cell r="G605">
            <v>0.15</v>
          </cell>
          <cell r="H605">
            <v>0.15</v>
          </cell>
          <cell r="J605" t="str">
            <v>Ensure note more than 5 security payment related issues arise monthly</v>
          </cell>
          <cell r="K605" t="str">
            <v>Achieve Average  PA &gt; 99.5% for every month staring August 2025 (refer to 'PA Glide Path' below)</v>
          </cell>
          <cell r="L605" t="str">
            <v>ANTHONY OSAKWE</v>
          </cell>
        </row>
        <row r="606">
          <cell r="A606">
            <v>43</v>
          </cell>
          <cell r="B606" t="str">
            <v>PAT00054</v>
          </cell>
          <cell r="C606" t="str">
            <v>ADEGBENRO AJEGUNMA</v>
          </cell>
          <cell r="D606" t="str">
            <v>Head Security</v>
          </cell>
          <cell r="E606" t="str">
            <v>Ensure resolution of all security payment related issues within 2hrs of notification</v>
          </cell>
          <cell r="F606" t="str">
            <v>Ensure resolution of all security payment related issues within 2hrs of notification</v>
          </cell>
          <cell r="G606">
            <v>0.1</v>
          </cell>
          <cell r="H606">
            <v>0.1</v>
          </cell>
          <cell r="J606" t="str">
            <v>Ensure timely payment of security agencies/guards salary before 7th of the following month</v>
          </cell>
          <cell r="K606" t="str">
            <v>Deliver Gross Profit of NGN Bn 19 by Q4 2025 (and cumulative GP of NGN Bn 8.4 by Q2 2025)</v>
          </cell>
          <cell r="L606" t="str">
            <v>ANTHONY OSAKWE</v>
          </cell>
        </row>
        <row r="607">
          <cell r="A607">
            <v>43</v>
          </cell>
          <cell r="B607" t="str">
            <v>PAT00054</v>
          </cell>
          <cell r="C607" t="str">
            <v>ADEGBENRO AJEGUNMA</v>
          </cell>
          <cell r="D607" t="str">
            <v>Head Security</v>
          </cell>
          <cell r="E607" t="str">
            <v>Ensure debit advice are notified to the diesel coordinator/operations team for cases of missing diesel quantity/site assests within 48hrs</v>
          </cell>
          <cell r="F607" t="str">
            <v>Ensure debit advice are notified to the diesel coordinator/operations team for cases of missing diesel quantity/site assests within 48hrs</v>
          </cell>
          <cell r="G607">
            <v>0.15</v>
          </cell>
          <cell r="H607">
            <v>0.15</v>
          </cell>
          <cell r="J607" t="str">
            <v>Ensure debit advice are notified to the diesel coordinator/operations team for cases of missing diesel quantity/site assests within 48hrs</v>
          </cell>
          <cell r="K607" t="str">
            <v>Deliver Gross Profit of NGN Bn 19 by Q4 2025 (and cumulative GP of NGN Bn 8.4 by Q2 2025)</v>
          </cell>
          <cell r="L607" t="str">
            <v>ANTHONY OSAKWE</v>
          </cell>
        </row>
        <row r="608">
          <cell r="A608">
            <v>43</v>
          </cell>
          <cell r="B608" t="str">
            <v>PAT00054</v>
          </cell>
          <cell r="C608" t="str">
            <v>ADEGBENRO AJEGUNMA</v>
          </cell>
          <cell r="D608" t="str">
            <v>Head Security</v>
          </cell>
          <cell r="E608" t="str">
            <v>Achieve security SLA satisfaction with 95% satisfaction rate</v>
          </cell>
          <cell r="F608" t="str">
            <v>Achieve security SLA satisfaction with 95% satisfaction rate</v>
          </cell>
          <cell r="G608">
            <v>0.1</v>
          </cell>
          <cell r="H608">
            <v>0.1</v>
          </cell>
          <cell r="J608" t="str">
            <v>Achieve security SLA satisfaction with 95% satisfaction rate</v>
          </cell>
          <cell r="K608" t="str">
            <v>Deliver Gross Profit of NGN Bn 19 by Q4 2025 (and cumulative GP of NGN Bn 8.4 by Q2 2025)</v>
          </cell>
          <cell r="L608" t="str">
            <v>ANTHONY OSAKWE</v>
          </cell>
        </row>
        <row r="609">
          <cell r="A609">
            <v>43</v>
          </cell>
          <cell r="B609" t="str">
            <v>PAT00054</v>
          </cell>
          <cell r="C609" t="str">
            <v>ADEGBENRO AJEGUNMA</v>
          </cell>
          <cell r="D609" t="str">
            <v>Head Security</v>
          </cell>
          <cell r="E609" t="str">
            <v>Achieve 90% on action taken on theft cases reported (other than diesel)</v>
          </cell>
          <cell r="F609" t="str">
            <v>Achieve 90% on action taken on theft cases reported (other than diesel)</v>
          </cell>
          <cell r="G609">
            <v>0.1</v>
          </cell>
          <cell r="H609">
            <v>0.1</v>
          </cell>
          <cell r="J609" t="str">
            <v>Achieve 90% on action taken on theft cases reported (other than diesel)</v>
          </cell>
          <cell r="K609" t="str">
            <v>Deliver Gross Profit of NGN Bn 19 by Q4 2025 (and cumulative GP of NGN Bn 8.4 by Q2 2025)</v>
          </cell>
          <cell r="L609" t="str">
            <v>ANTHONY OSAKWE</v>
          </cell>
        </row>
        <row r="610">
          <cell r="A610">
            <v>43</v>
          </cell>
          <cell r="B610" t="str">
            <v>PAT00054</v>
          </cell>
          <cell r="C610" t="str">
            <v>ADEGBENRO AJEGUNMA</v>
          </cell>
          <cell r="D610" t="str">
            <v>Head Security</v>
          </cell>
          <cell r="E610" t="str">
            <v>Achieve 90% on action taken on theft cases reported (diesel)</v>
          </cell>
          <cell r="F610" t="str">
            <v>Achieve 90% on action taken on theft cases reported (diesel)</v>
          </cell>
          <cell r="G610">
            <v>0.1</v>
          </cell>
          <cell r="H610">
            <v>0.1</v>
          </cell>
          <cell r="J610" t="str">
            <v>Achieve 90% on action taken on theft cases reported (diesel)</v>
          </cell>
          <cell r="K610" t="str">
            <v>Deliver Gross Profit of NGN Bn 19 by Q4 2025 (and cumulative GP of NGN Bn 8.4 by Q2 2025)</v>
          </cell>
          <cell r="L610" t="str">
            <v>ANTHONY OSAKWE</v>
          </cell>
        </row>
        <row r="611">
          <cell r="A611">
            <v>44</v>
          </cell>
          <cell r="B611" t="e">
            <v>#N/A</v>
          </cell>
          <cell r="C611" t="str">
            <v>VACANT</v>
          </cell>
          <cell r="D611" t="str">
            <v>Project Manager - Civil (Vacant)</v>
          </cell>
          <cell r="E611" t="str">
            <v>Deployment implementation (All projects- BTS, COLO, Tower PPM etc)</v>
          </cell>
          <cell r="F611" t="str">
            <v>Deployment implementation (All projects- BTS, COLO, Tower PPM etc)</v>
          </cell>
          <cell r="G611">
            <v>0.3</v>
          </cell>
          <cell r="H611">
            <v>0.3</v>
          </cell>
          <cell r="J611" t="str">
            <v>Deployment implementation (All projects- BTS, COLO, Tower PPM etc)</v>
          </cell>
          <cell r="L611" t="str">
            <v xml:space="preserve">OLAONIPEKUN IKUOMOLA </v>
          </cell>
        </row>
        <row r="612">
          <cell r="A612">
            <v>44</v>
          </cell>
          <cell r="B612" t="e">
            <v>#N/A</v>
          </cell>
          <cell r="C612" t="str">
            <v>VACANT</v>
          </cell>
          <cell r="D612" t="str">
            <v>Project Manager - Civil (Vacant)</v>
          </cell>
          <cell r="E612" t="str">
            <v>Ensure new tower rollout timing in line with agreed upon SLAs 35days for BTS &amp; re-built site</v>
          </cell>
          <cell r="F612" t="str">
            <v>Ensure new tower rollout timing in line with agreed upon SLAs 35days for BTS &amp; re-built site</v>
          </cell>
          <cell r="G612">
            <v>0.25</v>
          </cell>
          <cell r="H612">
            <v>0.25</v>
          </cell>
          <cell r="J612" t="str">
            <v>Ensure new tower rollout timing in line with agreed upon SLAs 35days for BTS &amp; re-built site</v>
          </cell>
          <cell r="L612" t="str">
            <v xml:space="preserve">OLAONIPEKUN IKUOMOLA </v>
          </cell>
        </row>
        <row r="613">
          <cell r="A613">
            <v>44</v>
          </cell>
          <cell r="B613" t="e">
            <v>#N/A</v>
          </cell>
          <cell r="C613" t="str">
            <v>VACANT</v>
          </cell>
          <cell r="D613" t="str">
            <v>Project Manager - Civil (Vacant)</v>
          </cell>
          <cell r="E613" t="str">
            <v>Ensure new tower rollout timing in line with agreed upon SLAs 10days for COLO upgrade</v>
          </cell>
          <cell r="F613" t="str">
            <v>Ensure new tower rollout timing in line with agreed upon SLAs 10days for COLO upgrade</v>
          </cell>
          <cell r="G613">
            <v>0.2</v>
          </cell>
          <cell r="H613">
            <v>0.2</v>
          </cell>
          <cell r="I613">
            <v>1</v>
          </cell>
          <cell r="J613" t="str">
            <v>Ensure new tower rollout timing in line with agreed upon SLAs 10days for COLO upgrade</v>
          </cell>
          <cell r="L613" t="str">
            <v xml:space="preserve">OLAONIPEKUN IKUOMOLA </v>
          </cell>
        </row>
        <row r="614">
          <cell r="A614">
            <v>44</v>
          </cell>
          <cell r="B614" t="e">
            <v>#N/A</v>
          </cell>
          <cell r="C614" t="str">
            <v>VACANT</v>
          </cell>
          <cell r="D614" t="str">
            <v>Project Manager - Civil (Vacant)</v>
          </cell>
          <cell r="E614" t="str">
            <v>Deployment quality assurance (BTS, COLLO, Infra correction, etc)</v>
          </cell>
          <cell r="F614" t="str">
            <v>Deployment quality assurance (BTS, COLLO, Infra correction, etc)</v>
          </cell>
          <cell r="G614">
            <v>0.25</v>
          </cell>
          <cell r="H614">
            <v>0.25</v>
          </cell>
          <cell r="I614">
            <v>1</v>
          </cell>
          <cell r="J614" t="str">
            <v>Deployment quality assurance (BTS, COLLO, Infra correction, etc)</v>
          </cell>
          <cell r="L614" t="str">
            <v xml:space="preserve">OLAONIPEKUN IKUOMOLA </v>
          </cell>
        </row>
        <row r="615">
          <cell r="A615">
            <v>45</v>
          </cell>
          <cell r="B615" t="str">
            <v>PAT00168</v>
          </cell>
          <cell r="C615" t="str">
            <v>AYOOLA AKALA</v>
          </cell>
          <cell r="D615" t="str">
            <v>SO Coordinator</v>
          </cell>
          <cell r="E615" t="str">
            <v>Project acceptance adherence (All sites ATP compliance and quality delivery)</v>
          </cell>
          <cell r="F615" t="str">
            <v>Project acceptance adherence (All sites ATP compliance and quality delivery)</v>
          </cell>
          <cell r="G615">
            <v>0.3</v>
          </cell>
          <cell r="H615">
            <v>0.3</v>
          </cell>
          <cell r="J615" t="str">
            <v>Project acceptance adherence (All sites ATP compliance and quality delivery)</v>
          </cell>
          <cell r="L615" t="str">
            <v xml:space="preserve">OLAONIPEKUN IKUOMOLA </v>
          </cell>
        </row>
        <row r="616">
          <cell r="A616">
            <v>45</v>
          </cell>
          <cell r="B616" t="str">
            <v>PAT00168</v>
          </cell>
          <cell r="C616" t="str">
            <v>AYOOLA AKALA</v>
          </cell>
          <cell r="D616" t="str">
            <v>SO Coordinator</v>
          </cell>
          <cell r="E616" t="str">
            <v>Project documentation management (Project Milestone, JCC, C-Modules, MRF &amp; MTF) - completion within 24 - 48hrs of receipt</v>
          </cell>
          <cell r="F616" t="str">
            <v>Project documentation management (Project Milestone, JCC, C-Modules, MRF &amp; MTF) - completion within 24 - 48hrs of receipt</v>
          </cell>
          <cell r="G616">
            <v>0.25</v>
          </cell>
          <cell r="H616">
            <v>0.25</v>
          </cell>
          <cell r="I616">
            <v>1</v>
          </cell>
          <cell r="J616" t="str">
            <v>Project documentation management (Project Milestone, JCC, C-Modules, MRF &amp; MTF)</v>
          </cell>
          <cell r="L616" t="str">
            <v xml:space="preserve">OLAONIPEKUN IKUOMOLA </v>
          </cell>
        </row>
        <row r="617">
          <cell r="A617">
            <v>45</v>
          </cell>
          <cell r="B617" t="str">
            <v>PAT00168</v>
          </cell>
          <cell r="C617" t="str">
            <v>AYOOLA AKALA</v>
          </cell>
          <cell r="D617" t="str">
            <v>SO Coordinator</v>
          </cell>
          <cell r="E617" t="str">
            <v>Material Management (Inventory of free issue equipment for project support</v>
          </cell>
          <cell r="F617" t="str">
            <v>Material Management (Inventory of free issue equipment for project support</v>
          </cell>
          <cell r="G617">
            <v>0.2</v>
          </cell>
          <cell r="H617">
            <v>0.2</v>
          </cell>
          <cell r="I617">
            <v>1</v>
          </cell>
          <cell r="J617" t="str">
            <v>Material Management (Inventory of free issue equipment for project support</v>
          </cell>
          <cell r="L617" t="str">
            <v xml:space="preserve">OLAONIPEKUN IKUOMOLA </v>
          </cell>
        </row>
        <row r="618">
          <cell r="A618">
            <v>45</v>
          </cell>
          <cell r="B618" t="str">
            <v>PAT00168</v>
          </cell>
          <cell r="C618" t="str">
            <v>AYOOLA AKALA</v>
          </cell>
          <cell r="D618" t="str">
            <v>SO Coordinator</v>
          </cell>
          <cell r="E618" t="str">
            <v>Site preliminary implementation (TSS, Soil Test, Site Drawings)  - completion within 72hrs of receipt</v>
          </cell>
          <cell r="F618" t="str">
            <v>Site preliminary implementation (TSS, Soil Test, Site Drawings)  - completion within 72hrs of receipt</v>
          </cell>
          <cell r="G618">
            <v>0.25</v>
          </cell>
          <cell r="H618">
            <v>0.25</v>
          </cell>
          <cell r="J618" t="str">
            <v>Site preliminary implementation (TSS, Soil Test, Site Drawings)</v>
          </cell>
          <cell r="L618" t="str">
            <v xml:space="preserve">OLAONIPEKUN IKUOMOLA </v>
          </cell>
        </row>
        <row r="619">
          <cell r="A619">
            <v>46</v>
          </cell>
          <cell r="B619" t="e">
            <v>#N/A</v>
          </cell>
          <cell r="C619" t="str">
            <v>VACANT</v>
          </cell>
          <cell r="D619" t="str">
            <v>Operations Intelligence Manager (Vacant)</v>
          </cell>
          <cell r="E619" t="str">
            <v>Incident management: manage and coordinate faults in real time to reduce mean time to detect (MTTD) and mean time to repair (MTTR)</v>
          </cell>
          <cell r="F619" t="str">
            <v>Incident management: manage and coordinate faults in real time to reduce mean time to detect (MTTD) and mean time to repair (MTTR)</v>
          </cell>
          <cell r="G619">
            <v>0.2</v>
          </cell>
          <cell r="H619">
            <v>0.2</v>
          </cell>
          <cell r="I619" t="str">
            <v>10% reduction</v>
          </cell>
          <cell r="J619" t="str">
            <v>Incident management: manage and coordinate faults in real time to reduce mean time to detect (MTTD) and mean time to repair (MTTR)</v>
          </cell>
          <cell r="L619" t="str">
            <v>SWAPNIL MAHADIK</v>
          </cell>
        </row>
        <row r="620">
          <cell r="A620">
            <v>46</v>
          </cell>
          <cell r="B620" t="e">
            <v>#N/A</v>
          </cell>
          <cell r="C620" t="str">
            <v>VACANT</v>
          </cell>
          <cell r="D620" t="str">
            <v>Operations Intelligence Manager (Vacant)</v>
          </cell>
          <cell r="E620" t="str">
            <v>Ensure SOPs for all opearational activities</v>
          </cell>
          <cell r="F620" t="str">
            <v>Ensure SOPs for all opearational activities</v>
          </cell>
          <cell r="G620">
            <v>0.2</v>
          </cell>
          <cell r="H620">
            <v>0.2</v>
          </cell>
          <cell r="J620" t="str">
            <v>Ensure SOPs for all opearational activities</v>
          </cell>
          <cell r="L620" t="str">
            <v>SWAPNIL MAHADIK</v>
          </cell>
        </row>
        <row r="621">
          <cell r="A621">
            <v>46</v>
          </cell>
          <cell r="B621" t="e">
            <v>#N/A</v>
          </cell>
          <cell r="C621" t="str">
            <v>VACANT</v>
          </cell>
          <cell r="D621" t="str">
            <v>Operations Intelligence Manager (Vacant)</v>
          </cell>
          <cell r="E621" t="str">
            <v>Analyse fault data, identify trends, predict faults, and implement measure to prevent repeated failures. &lt; 3 faults per month</v>
          </cell>
          <cell r="F621" t="str">
            <v>Analyse fault data, identify trends, predict faults, and implement measure to prevent repeated failures. &lt; 3 faults per month</v>
          </cell>
          <cell r="G621">
            <v>0.2</v>
          </cell>
          <cell r="H621">
            <v>0.2</v>
          </cell>
          <cell r="I621" t="str">
            <v>&lt; 3</v>
          </cell>
          <cell r="J621" t="str">
            <v>Analyse fault data, identify trends, predict faults, and implement measure to prevent repeated failures</v>
          </cell>
          <cell r="L621" t="str">
            <v>SWAPNIL MAHADIK</v>
          </cell>
        </row>
        <row r="622">
          <cell r="A622">
            <v>46</v>
          </cell>
          <cell r="B622" t="e">
            <v>#N/A</v>
          </cell>
          <cell r="C622" t="str">
            <v>VACANT</v>
          </cell>
          <cell r="D622" t="str">
            <v>Operations Intelligence Manager (Vacant)</v>
          </cell>
          <cell r="E622" t="str">
            <v>1% reduction per month in number of site not meeting 99.5% PA</v>
          </cell>
          <cell r="F622" t="str">
            <v>1% reduction per month in number of site not meeting 99.5% PA</v>
          </cell>
          <cell r="G622">
            <v>0.2</v>
          </cell>
          <cell r="H622">
            <v>0.2</v>
          </cell>
          <cell r="I622">
            <v>0.01</v>
          </cell>
          <cell r="J622" t="str">
            <v>1% reduction per month in number of site not meeting 99.5% PA</v>
          </cell>
          <cell r="L622" t="str">
            <v>SWAPNIL MAHADIK</v>
          </cell>
        </row>
        <row r="623">
          <cell r="A623">
            <v>46</v>
          </cell>
          <cell r="B623" t="e">
            <v>#N/A</v>
          </cell>
          <cell r="C623" t="str">
            <v>VACANT</v>
          </cell>
          <cell r="D623" t="str">
            <v>Operations Intelligence Manager (Vacant)</v>
          </cell>
          <cell r="E623" t="str">
            <v>5% reduction per month in number of site with &gt;3 faults per month</v>
          </cell>
          <cell r="F623" t="str">
            <v>5% reduction per month in number of site with &gt;3 faults per month</v>
          </cell>
          <cell r="G623">
            <v>0.2</v>
          </cell>
          <cell r="H623">
            <v>0.2</v>
          </cell>
          <cell r="J623" t="str">
            <v>5% reduction per month in number of site with &gt;3 faults per month</v>
          </cell>
          <cell r="L623" t="str">
            <v>SWAPNIL MAHADIK</v>
          </cell>
        </row>
        <row r="624">
          <cell r="A624">
            <v>47</v>
          </cell>
          <cell r="B624" t="str">
            <v>PAT00025</v>
          </cell>
          <cell r="C624" t="str">
            <v>OSEMEKE AUSTIN</v>
          </cell>
          <cell r="D624" t="str">
            <v>Maintenance Manager</v>
          </cell>
          <cell r="E624" t="str">
            <v>MS Vendor SLA - Ensure penalties applied to MS for all breaches related to non-routine maintenance on DG.</v>
          </cell>
          <cell r="F624" t="str">
            <v>MS Vendor SLA - Ensure penalties applied to MS for all breaches related to non-routine maintenance on DG.</v>
          </cell>
          <cell r="G624">
            <v>0.2</v>
          </cell>
          <cell r="H624">
            <v>0.2</v>
          </cell>
          <cell r="I624">
            <v>1</v>
          </cell>
          <cell r="J624" t="str">
            <v>MS Vendor SLA - Ensure penalties applied to MS for all breaches related to non-routine maintenance on DG.</v>
          </cell>
          <cell r="K624" t="str">
            <v xml:space="preserve">Make sure PAT scores highly in stakeholder satisfaction scores </v>
          </cell>
          <cell r="L624" t="str">
            <v>SWAPNIL MAHADIK</v>
          </cell>
        </row>
        <row r="625">
          <cell r="A625">
            <v>47</v>
          </cell>
          <cell r="B625" t="str">
            <v>PAT00025</v>
          </cell>
          <cell r="C625" t="str">
            <v>OSEMEKE AUSTIN</v>
          </cell>
          <cell r="D625" t="str">
            <v>Maintenance Manager</v>
          </cell>
          <cell r="E625" t="str">
            <v>Ensure DG faults &lt;1.7 per site</v>
          </cell>
          <cell r="F625" t="str">
            <v>Ensure DG faults &lt;1.7 per site</v>
          </cell>
          <cell r="G625">
            <v>0.2</v>
          </cell>
          <cell r="H625">
            <v>0.2</v>
          </cell>
          <cell r="J625" t="str">
            <v>Ensure DG faults &lt;1.3 per site</v>
          </cell>
          <cell r="L625" t="str">
            <v>SWAPNIL MAHADIK</v>
          </cell>
        </row>
        <row r="626">
          <cell r="A626">
            <v>47</v>
          </cell>
          <cell r="B626" t="str">
            <v>PAT00025</v>
          </cell>
          <cell r="C626" t="str">
            <v>OSEMEKE AUSTIN</v>
          </cell>
          <cell r="D626" t="str">
            <v>Maintenance Manager</v>
          </cell>
          <cell r="E626" t="str">
            <v>Ensure MTTR &lt;120minutes for DG faults</v>
          </cell>
          <cell r="F626" t="str">
            <v>Ensure MTTR &lt;120minutes for DG faults</v>
          </cell>
          <cell r="G626">
            <v>0.2</v>
          </cell>
          <cell r="H626">
            <v>0.2</v>
          </cell>
          <cell r="J626" t="str">
            <v>Ensure MTTR &lt;120minutes for DG faults</v>
          </cell>
          <cell r="L626" t="str">
            <v>SWAPNIL MAHADIK</v>
          </cell>
        </row>
        <row r="627">
          <cell r="A627">
            <v>47</v>
          </cell>
          <cell r="B627" t="str">
            <v>PAT00025</v>
          </cell>
          <cell r="C627" t="str">
            <v>OSEMEKE AUSTIN</v>
          </cell>
          <cell r="D627" t="str">
            <v>Maintenance Manager</v>
          </cell>
          <cell r="E627" t="str">
            <v>Opex Control: Ensure 100% DG operations between 50% to 80% loading for all cases except DG capacity of 13.5Kva and below</v>
          </cell>
          <cell r="F627" t="str">
            <v>Opex Control: Ensure 100% DG operations between 50% to 80% loading for all cases except DG capacity of 13.5Kva and below</v>
          </cell>
          <cell r="G627">
            <v>0.2</v>
          </cell>
          <cell r="H627">
            <v>0.2</v>
          </cell>
          <cell r="J627" t="str">
            <v>Opex Control: Ensure 100% DG operations between 50% to 80% loading for all cases except DG capacity of 13.5Kva and below</v>
          </cell>
          <cell r="L627" t="str">
            <v>SWAPNIL MAHADIK</v>
          </cell>
        </row>
        <row r="628">
          <cell r="A628">
            <v>47</v>
          </cell>
          <cell r="B628" t="str">
            <v>PAT00025</v>
          </cell>
          <cell r="C628" t="str">
            <v>OSEMEKE AUSTIN</v>
          </cell>
          <cell r="D628" t="str">
            <v>Maintenance Manager</v>
          </cell>
          <cell r="E628" t="str">
            <v>Ensure 100% DG manageability on all RMS connected sites</v>
          </cell>
          <cell r="F628" t="str">
            <v>Ensure 100% DG manageability on all RMS connected sites</v>
          </cell>
          <cell r="G628">
            <v>0.2</v>
          </cell>
          <cell r="H628">
            <v>0.2</v>
          </cell>
          <cell r="J628" t="str">
            <v>Ensure 100% DG manageability on all RMS connected sites</v>
          </cell>
          <cell r="L628" t="str">
            <v>SWAPNIL MAHADIK</v>
          </cell>
        </row>
        <row r="629">
          <cell r="A629">
            <v>48</v>
          </cell>
          <cell r="B629" t="str">
            <v>PAT00057</v>
          </cell>
          <cell r="C629" t="str">
            <v>SHOLA OKE</v>
          </cell>
          <cell r="D629" t="str">
            <v>PPM Manager</v>
          </cell>
          <cell r="E629" t="str">
            <v>MS Vendor SLA - Ensure penalties applied to MS for all breaches related to routine preventive maintenance and janitorial</v>
          </cell>
          <cell r="F629" t="str">
            <v>MS Vendor SLA - Ensure penalties applied to MS for all breaches related to routine preventive maintenance and janitorial</v>
          </cell>
          <cell r="G629">
            <v>0.2</v>
          </cell>
          <cell r="H629">
            <v>0.2</v>
          </cell>
          <cell r="I629">
            <v>1</v>
          </cell>
          <cell r="J629" t="str">
            <v>MS Vendor SLA - Ensure penalties applied to MS for all breaches related to routine preventive maintenance and janitorial</v>
          </cell>
          <cell r="K629" t="str">
            <v xml:space="preserve">Make sure PAT scores highly in stakeholder satisfaction scores </v>
          </cell>
          <cell r="L629" t="str">
            <v>SWAPNIL MAHADIK</v>
          </cell>
        </row>
        <row r="630">
          <cell r="A630">
            <v>48</v>
          </cell>
          <cell r="B630" t="str">
            <v>PAT00057</v>
          </cell>
          <cell r="C630" t="str">
            <v>SHOLA OKE</v>
          </cell>
          <cell r="D630" t="str">
            <v>PPM Manager</v>
          </cell>
          <cell r="E630" t="str">
            <v>Ensure electrical faults &lt;0.5 per site</v>
          </cell>
          <cell r="F630" t="str">
            <v>Ensure electrical faults &lt;0.5 per site</v>
          </cell>
          <cell r="G630">
            <v>0.2</v>
          </cell>
          <cell r="H630">
            <v>0.2</v>
          </cell>
          <cell r="J630" t="str">
            <v>Ensure electrical faults &lt;0.5 per site</v>
          </cell>
          <cell r="L630" t="str">
            <v>SWAPNIL MAHADIK</v>
          </cell>
        </row>
        <row r="631">
          <cell r="A631">
            <v>48</v>
          </cell>
          <cell r="B631" t="str">
            <v>PAT00057</v>
          </cell>
          <cell r="C631" t="str">
            <v>SHOLA OKE</v>
          </cell>
          <cell r="D631" t="str">
            <v>PPM Manager</v>
          </cell>
          <cell r="E631" t="str">
            <v>Ensure MTTR &lt;90minutes for electrical faults</v>
          </cell>
          <cell r="F631" t="str">
            <v>Ensure MTTR &lt;90minutes for electrical faults</v>
          </cell>
          <cell r="G631">
            <v>0.2</v>
          </cell>
          <cell r="H631">
            <v>0.2</v>
          </cell>
          <cell r="J631" t="str">
            <v>Ensure MTTR &lt;90minutes for electrical faults</v>
          </cell>
          <cell r="L631" t="str">
            <v>SWAPNIL MAHADIK</v>
          </cell>
        </row>
        <row r="632">
          <cell r="A632">
            <v>48</v>
          </cell>
          <cell r="B632" t="str">
            <v>PAT00057</v>
          </cell>
          <cell r="C632" t="str">
            <v>SHOLA OKE</v>
          </cell>
          <cell r="D632" t="str">
            <v>PPM Manager</v>
          </cell>
          <cell r="E632" t="str">
            <v xml:space="preserve">Ensure utilization of rectifier/modules less than 80% </v>
          </cell>
          <cell r="F632" t="str">
            <v xml:space="preserve">Ensure utilization of rectifier/modules less than 80% </v>
          </cell>
          <cell r="G632">
            <v>0.2</v>
          </cell>
          <cell r="H632">
            <v>0.2</v>
          </cell>
          <cell r="J632" t="str">
            <v xml:space="preserve">Ensure utilization of rectifier/modules less than 80% </v>
          </cell>
          <cell r="L632" t="str">
            <v>SWAPNIL MAHADIK</v>
          </cell>
        </row>
        <row r="633">
          <cell r="A633">
            <v>48</v>
          </cell>
          <cell r="B633" t="str">
            <v>PAT00057</v>
          </cell>
          <cell r="C633" t="str">
            <v>SHOLA OKE</v>
          </cell>
          <cell r="D633" t="str">
            <v>PPM Manager</v>
          </cell>
          <cell r="E633" t="str">
            <v>Opex Control: Ensure optimal operations for DG battery hybrid solution deployed</v>
          </cell>
          <cell r="F633" t="str">
            <v>Opex Control: Ensure optimal operations for DG battery hybrid solution deployed</v>
          </cell>
          <cell r="G633">
            <v>0.2</v>
          </cell>
          <cell r="H633">
            <v>0.2</v>
          </cell>
          <cell r="J633" t="str">
            <v>Opex Control: Ensure optimal operations for DG battery hybrid solution deployed</v>
          </cell>
          <cell r="L633" t="str">
            <v>SWAPNIL MAHADIK</v>
          </cell>
        </row>
        <row r="634">
          <cell r="A634">
            <v>49</v>
          </cell>
          <cell r="B634" t="str">
            <v>PAT00045</v>
          </cell>
          <cell r="C634" t="str">
            <v>SULTAN KUTI</v>
          </cell>
          <cell r="D634" t="str">
            <v>SME Grid Maintenance</v>
          </cell>
          <cell r="E634" t="str">
            <v>Opex Control: Saving from Fuel - Grid Sites - Ensure grid is operational for all on-grid sites (e.g transformer issue, PHCN payment issues, e.t.c)</v>
          </cell>
          <cell r="F634" t="str">
            <v>Opex Control: Saving from Fuel - Grid Sites - Ensure grid is operational for all on-grid sites (e.g transformer issue, PHCN payment issues, e.t.c)</v>
          </cell>
          <cell r="G634">
            <v>0.25</v>
          </cell>
          <cell r="H634">
            <v>0.25</v>
          </cell>
          <cell r="I634">
            <v>1</v>
          </cell>
          <cell r="J634" t="str">
            <v>Opex Control: Saving from Fuel - Grid Sites - Ensure grid is operational for all on-grid sites (e.g transformer issue, PHCN payment issues, e.t.c)</v>
          </cell>
          <cell r="K634" t="str">
            <v>Deliver Gross Profit of NGN Bn 19 by Q4 2025 (and cumulative GP of NGN Bn 8.4 by Q2 2025)</v>
          </cell>
          <cell r="L634" t="str">
            <v>SWAPNIL MAHADIK</v>
          </cell>
        </row>
        <row r="635">
          <cell r="A635">
            <v>49</v>
          </cell>
          <cell r="B635" t="str">
            <v>PAT00045</v>
          </cell>
          <cell r="C635" t="str">
            <v>SULTAN KUTI</v>
          </cell>
          <cell r="D635" t="str">
            <v>SME Grid Maintenance</v>
          </cell>
          <cell r="E635" t="str">
            <v>Connect 200 off-grid sites to national grid</v>
          </cell>
          <cell r="F635" t="str">
            <v>Connect 200 off-grid sites to national grid</v>
          </cell>
          <cell r="G635">
            <v>0.25</v>
          </cell>
          <cell r="H635">
            <v>0.25</v>
          </cell>
          <cell r="J635" t="str">
            <v>Connect 200 off-grid sites to national grid</v>
          </cell>
          <cell r="L635" t="str">
            <v>SWAPNIL MAHADIK</v>
          </cell>
        </row>
        <row r="636">
          <cell r="A636">
            <v>49</v>
          </cell>
          <cell r="B636" t="str">
            <v>PAT00045</v>
          </cell>
          <cell r="C636" t="str">
            <v>SULTAN KUTI</v>
          </cell>
          <cell r="D636" t="str">
            <v>SME Grid Maintenance</v>
          </cell>
          <cell r="E636" t="str">
            <v>Connect 30% of new BTS on national grid</v>
          </cell>
          <cell r="F636" t="str">
            <v>Connect 30% of new BTS on national grid</v>
          </cell>
          <cell r="G636">
            <v>0.25</v>
          </cell>
          <cell r="H636">
            <v>0.25</v>
          </cell>
          <cell r="J636" t="str">
            <v>Connect 30% of new BTS on national grid</v>
          </cell>
          <cell r="L636" t="str">
            <v>SWAPNIL MAHADIK</v>
          </cell>
        </row>
        <row r="637">
          <cell r="A637">
            <v>49</v>
          </cell>
          <cell r="B637" t="str">
            <v>PAT00045</v>
          </cell>
          <cell r="C637" t="str">
            <v>SULTAN KUTI</v>
          </cell>
          <cell r="D637" t="str">
            <v>SME Grid Maintenance</v>
          </cell>
          <cell r="E637" t="str">
            <v xml:space="preserve">Ensure SLA compliance on grid availability and annual maintenance by site maintenance contractor </v>
          </cell>
          <cell r="F637" t="str">
            <v xml:space="preserve">Ensure SLA compliance on grid availability and annual maintenance by site maintenance contractor </v>
          </cell>
          <cell r="G637">
            <v>0.25</v>
          </cell>
          <cell r="H637">
            <v>0.25</v>
          </cell>
          <cell r="J637" t="str">
            <v xml:space="preserve">Ensure SLA compliance on grid availability and annual maintenance by site maintenance contractor </v>
          </cell>
          <cell r="L637" t="str">
            <v>SWAPNIL MAHADIK</v>
          </cell>
        </row>
        <row r="638">
          <cell r="A638">
            <v>50</v>
          </cell>
          <cell r="B638" t="e">
            <v>#N/A</v>
          </cell>
          <cell r="C638" t="str">
            <v>RM/SDS</v>
          </cell>
          <cell r="D638" t="str">
            <v>Operations Manager</v>
          </cell>
          <cell r="E638" t="str">
            <v>Ensure average fault per site of &lt; 2. 4 per month</v>
          </cell>
          <cell r="F638" t="str">
            <v>Ensure average fault per site of &lt; 2. 4 per month</v>
          </cell>
          <cell r="G638">
            <v>0.25</v>
          </cell>
          <cell r="H638">
            <v>0.25</v>
          </cell>
          <cell r="I638" t="str">
            <v>&lt;2.4</v>
          </cell>
          <cell r="J638" t="str">
            <v>Ensure average fault per site of &lt; 2. 4 per month</v>
          </cell>
          <cell r="K638" t="str">
            <v>Achieve Average  PA &gt; 99.5% for every month staring August 2025 (refer to 'PA Glide Path' below)</v>
          </cell>
          <cell r="L638" t="str">
            <v>SWAPNIL MAHADIK</v>
          </cell>
        </row>
        <row r="639">
          <cell r="A639">
            <v>50</v>
          </cell>
          <cell r="B639" t="e">
            <v>#N/A</v>
          </cell>
          <cell r="C639" t="str">
            <v>RM/SDS</v>
          </cell>
          <cell r="D639" t="str">
            <v>Operations Manager</v>
          </cell>
          <cell r="E639" t="str">
            <v>Ensure MTTR &lt;90minutes</v>
          </cell>
          <cell r="F639" t="str">
            <v>Ensure MTTR &lt;90minutes</v>
          </cell>
          <cell r="G639">
            <v>0.2</v>
          </cell>
          <cell r="H639">
            <v>0.2</v>
          </cell>
          <cell r="I639" t="str">
            <v>&lt;90min</v>
          </cell>
          <cell r="J639" t="str">
            <v>Ensure MTTR &lt;90minutes</v>
          </cell>
          <cell r="K639" t="str">
            <v>Achieve Average  PA &gt; 99.5% for every month staring August 2025 (refer to 'PA Glide Path' below)</v>
          </cell>
          <cell r="L639" t="str">
            <v>SWAPNIL MAHADIK</v>
          </cell>
        </row>
        <row r="640">
          <cell r="A640">
            <v>50</v>
          </cell>
          <cell r="B640" t="e">
            <v>#N/A</v>
          </cell>
          <cell r="C640" t="str">
            <v>RM/SDS</v>
          </cell>
          <cell r="D640" t="str">
            <v>Operations Manager</v>
          </cell>
          <cell r="E640" t="str">
            <v>65% and above sites meeting PA &gt; 99.5%</v>
          </cell>
          <cell r="F640" t="str">
            <v>65% and above sites meeting PA &gt; 99.5%</v>
          </cell>
          <cell r="G640">
            <v>0.25</v>
          </cell>
          <cell r="H640">
            <v>0.25</v>
          </cell>
          <cell r="I640">
            <v>0.65</v>
          </cell>
          <cell r="J640" t="str">
            <v>65% and above sites meeting PA &gt; 99.5%</v>
          </cell>
          <cell r="K640" t="str">
            <v>Achieve Average  PA &gt; 99.5% for every month staring August 2025 (refer to 'PA Glide Path' below)</v>
          </cell>
          <cell r="L640" t="str">
            <v>SWAPNIL MAHADIK</v>
          </cell>
        </row>
        <row r="641">
          <cell r="A641">
            <v>50</v>
          </cell>
          <cell r="B641" t="e">
            <v>#N/A</v>
          </cell>
          <cell r="C641" t="str">
            <v>RM/SDS</v>
          </cell>
          <cell r="D641" t="str">
            <v>Operations Manager</v>
          </cell>
          <cell r="E641" t="str">
            <v>Ensure average RMS sensors availability of 95% per month</v>
          </cell>
          <cell r="F641" t="str">
            <v>Ensure average RMS sensors availability of 95% per month</v>
          </cell>
          <cell r="G641">
            <v>0.15</v>
          </cell>
          <cell r="H641">
            <v>0.15</v>
          </cell>
          <cell r="I641">
            <v>0.95</v>
          </cell>
          <cell r="J641" t="str">
            <v>Ensure average RMS sensors availability of 95% per month</v>
          </cell>
          <cell r="K641" t="str">
            <v>Achieve Average  PA &gt; 99.5% for every month staring August 2025 (refer to 'PA Glide Path' below)</v>
          </cell>
          <cell r="L641" t="str">
            <v>SWAPNIL MAHADIK</v>
          </cell>
        </row>
        <row r="642">
          <cell r="A642">
            <v>50</v>
          </cell>
          <cell r="B642" t="e">
            <v>#N/A</v>
          </cell>
          <cell r="C642" t="str">
            <v>RM/SDS</v>
          </cell>
          <cell r="D642" t="str">
            <v>Operations Manager</v>
          </cell>
          <cell r="E642" t="str">
            <v>MS Vendor SLA - Ensure 95% compliance on PPM and janitorial</v>
          </cell>
          <cell r="F642" t="str">
            <v>MS Vendor SLA - Ensure 95% compliance on PPM and janitorial</v>
          </cell>
          <cell r="G642">
            <v>0.15</v>
          </cell>
          <cell r="H642">
            <v>0.15</v>
          </cell>
          <cell r="J642" t="str">
            <v>MS Vendor SLA - Ensure 95% compliance on PPM and janitorial</v>
          </cell>
          <cell r="L642" t="str">
            <v>SWAPNIL MAHADIK</v>
          </cell>
        </row>
        <row r="643">
          <cell r="A643">
            <v>51</v>
          </cell>
          <cell r="B643" t="str">
            <v>FD00001</v>
          </cell>
          <cell r="C643" t="str">
            <v>FEMI PHILLIPS OLADIPUPO</v>
          </cell>
          <cell r="D643" t="str">
            <v>Operations Manager</v>
          </cell>
          <cell r="E643" t="str">
            <v>Ensure average fault per site of &lt; 2. 4 per month</v>
          </cell>
          <cell r="F643" t="str">
            <v>Ensure average fault per site of &lt; 2. 4 per month</v>
          </cell>
          <cell r="G643">
            <v>0.25</v>
          </cell>
          <cell r="H643">
            <v>0.25</v>
          </cell>
          <cell r="I643" t="str">
            <v>&lt;2.4</v>
          </cell>
          <cell r="J643" t="str">
            <v>Ensure average fault per site of &lt; 2. 4 per month</v>
          </cell>
          <cell r="K643" t="str">
            <v>Achieve Average  PA &gt; 99.5% for every month staring August 2025 (refer to 'PA Glide Path' below)</v>
          </cell>
          <cell r="L643" t="str">
            <v>SWAPNIL MAHADIK</v>
          </cell>
        </row>
        <row r="644">
          <cell r="A644">
            <v>51</v>
          </cell>
          <cell r="B644" t="str">
            <v>FD00001</v>
          </cell>
          <cell r="C644" t="str">
            <v>FEMI PHILLIPS OLADIPUPO</v>
          </cell>
          <cell r="D644" t="str">
            <v>Operations Manager</v>
          </cell>
          <cell r="E644" t="str">
            <v>Ensure MTTR &lt;90minutes</v>
          </cell>
          <cell r="F644" t="str">
            <v>Ensure MTTR &lt;90minutes</v>
          </cell>
          <cell r="G644">
            <v>0.2</v>
          </cell>
          <cell r="H644">
            <v>0.2</v>
          </cell>
          <cell r="I644" t="str">
            <v>&lt;90min</v>
          </cell>
          <cell r="J644" t="str">
            <v>Ensure MTTR &lt;90minutes</v>
          </cell>
          <cell r="K644" t="str">
            <v>Achieve Average  PA &gt; 99.5% for every month staring August 2025 (refer to 'PA Glide Path' below)</v>
          </cell>
          <cell r="L644" t="str">
            <v>SWAPNIL MAHADIK</v>
          </cell>
        </row>
        <row r="645">
          <cell r="A645">
            <v>51</v>
          </cell>
          <cell r="B645" t="str">
            <v>FD00001</v>
          </cell>
          <cell r="C645" t="str">
            <v>FEMI PHILLIPS OLADIPUPO</v>
          </cell>
          <cell r="D645" t="str">
            <v>Operations Manager</v>
          </cell>
          <cell r="E645" t="str">
            <v>65% and above sites meeting PA &gt; 99.5%</v>
          </cell>
          <cell r="F645" t="str">
            <v>65% and above sites meeting PA &gt; 99.5%</v>
          </cell>
          <cell r="G645">
            <v>0.25</v>
          </cell>
          <cell r="H645">
            <v>0.25</v>
          </cell>
          <cell r="I645">
            <v>0.65</v>
          </cell>
          <cell r="J645" t="str">
            <v>65% and above sites meeting PA &gt; 99.5%</v>
          </cell>
          <cell r="K645" t="str">
            <v>Achieve Average  PA &gt; 99.5% for every month staring August 2025 (refer to 'PA Glide Path' below)</v>
          </cell>
          <cell r="L645" t="str">
            <v>SWAPNIL MAHADIK</v>
          </cell>
        </row>
        <row r="646">
          <cell r="A646">
            <v>51</v>
          </cell>
          <cell r="B646" t="str">
            <v>FD00001</v>
          </cell>
          <cell r="C646" t="str">
            <v>FEMI PHILLIPS OLADIPUPO</v>
          </cell>
          <cell r="D646" t="str">
            <v>Operations Manager</v>
          </cell>
          <cell r="E646" t="str">
            <v>Ensure average RMS sensors availability of 95% per month</v>
          </cell>
          <cell r="F646" t="str">
            <v>Ensure average RMS sensors availability of 95% per month</v>
          </cell>
          <cell r="G646">
            <v>0.15</v>
          </cell>
          <cell r="H646">
            <v>0.15</v>
          </cell>
          <cell r="I646">
            <v>0.95</v>
          </cell>
          <cell r="J646" t="str">
            <v>Ensure average RMS sensors availability of 95% per month</v>
          </cell>
          <cell r="K646" t="str">
            <v>Achieve Average  PA &gt; 99.5% for every month staring August 2025 (refer to 'PA Glide Path' below)</v>
          </cell>
          <cell r="L646" t="str">
            <v>SWAPNIL MAHADIK</v>
          </cell>
        </row>
        <row r="647">
          <cell r="A647">
            <v>51</v>
          </cell>
          <cell r="B647" t="str">
            <v>FD00001</v>
          </cell>
          <cell r="C647" t="str">
            <v>FEMI PHILLIPS OLADIPUPO</v>
          </cell>
          <cell r="D647" t="str">
            <v>Operations Manager</v>
          </cell>
          <cell r="E647" t="str">
            <v>MS Vendor SLA - Ensure 95% compliance on PPM and janitorial</v>
          </cell>
          <cell r="F647" t="str">
            <v>MS Vendor SLA - Ensure 95% compliance on PPM and janitorial</v>
          </cell>
          <cell r="G647">
            <v>0.15</v>
          </cell>
          <cell r="H647">
            <v>0.15</v>
          </cell>
          <cell r="J647" t="str">
            <v>MS Vendor SLA - Ensure 95% compliance on PPM and janitorial</v>
          </cell>
          <cell r="L647" t="str">
            <v>SWAPNIL MAHADIK</v>
          </cell>
        </row>
        <row r="648">
          <cell r="A648">
            <v>52</v>
          </cell>
          <cell r="B648" t="str">
            <v>FD00002</v>
          </cell>
          <cell r="C648" t="str">
            <v>EMMANUEL EZE</v>
          </cell>
          <cell r="D648" t="str">
            <v>Operations Manager</v>
          </cell>
          <cell r="E648" t="str">
            <v>Ensure average fault per site of &lt; 2. 4 per month</v>
          </cell>
          <cell r="F648" t="str">
            <v>Ensure average fault per site of &lt; 2. 4 per month</v>
          </cell>
          <cell r="G648">
            <v>0.25</v>
          </cell>
          <cell r="H648">
            <v>0.25</v>
          </cell>
          <cell r="I648" t="str">
            <v>&lt;2.4</v>
          </cell>
          <cell r="J648" t="str">
            <v>Ensure average fault per site of &lt; 2. 4 per month</v>
          </cell>
          <cell r="K648" t="str">
            <v>Achieve Average  PA &gt; 99.5% for every month staring August 2025 (refer to 'PA Glide Path' below)</v>
          </cell>
          <cell r="L648" t="str">
            <v>SWAPNIL MAHADIK</v>
          </cell>
        </row>
        <row r="649">
          <cell r="A649">
            <v>52</v>
          </cell>
          <cell r="B649" t="str">
            <v>FD00002</v>
          </cell>
          <cell r="C649" t="str">
            <v>EMMANUEL EZE</v>
          </cell>
          <cell r="D649" t="str">
            <v>Operations Manager</v>
          </cell>
          <cell r="E649" t="str">
            <v>Ensure MTTR &lt;90minutes</v>
          </cell>
          <cell r="F649" t="str">
            <v>Ensure MTTR &lt;90minutes</v>
          </cell>
          <cell r="G649">
            <v>0.2</v>
          </cell>
          <cell r="H649">
            <v>0.2</v>
          </cell>
          <cell r="I649" t="str">
            <v>&lt;90min</v>
          </cell>
          <cell r="J649" t="str">
            <v>Ensure MTTR &lt;90minutes</v>
          </cell>
          <cell r="K649" t="str">
            <v>Achieve Average  PA &gt; 99.5% for every month staring August 2025 (refer to 'PA Glide Path' below)</v>
          </cell>
          <cell r="L649" t="str">
            <v>SWAPNIL MAHADIK</v>
          </cell>
        </row>
        <row r="650">
          <cell r="A650">
            <v>52</v>
          </cell>
          <cell r="B650" t="str">
            <v>FD00002</v>
          </cell>
          <cell r="C650" t="str">
            <v>EMMANUEL EZE</v>
          </cell>
          <cell r="D650" t="str">
            <v>Operations Manager</v>
          </cell>
          <cell r="E650" t="str">
            <v>65% and above sites meeting PA &gt; 99.5%</v>
          </cell>
          <cell r="F650" t="str">
            <v>65% and above sites meeting PA &gt; 99.5%</v>
          </cell>
          <cell r="G650">
            <v>0.25</v>
          </cell>
          <cell r="H650">
            <v>0.25</v>
          </cell>
          <cell r="I650">
            <v>0.65</v>
          </cell>
          <cell r="J650" t="str">
            <v>65% and above sites meeting PA &gt; 99.5%</v>
          </cell>
          <cell r="K650" t="str">
            <v>Achieve Average  PA &gt; 99.5% for every month staring August 2025 (refer to 'PA Glide Path' below)</v>
          </cell>
          <cell r="L650" t="str">
            <v>SWAPNIL MAHADIK</v>
          </cell>
        </row>
        <row r="651">
          <cell r="A651">
            <v>52</v>
          </cell>
          <cell r="B651" t="str">
            <v>FD00002</v>
          </cell>
          <cell r="C651" t="str">
            <v>EMMANUEL EZE</v>
          </cell>
          <cell r="D651" t="str">
            <v>Operations Manager</v>
          </cell>
          <cell r="E651" t="str">
            <v>Ensure average RMS sensors availability of 95% per month</v>
          </cell>
          <cell r="F651" t="str">
            <v>Ensure average RMS sensors availability of 95% per month</v>
          </cell>
          <cell r="G651">
            <v>0.15</v>
          </cell>
          <cell r="H651">
            <v>0.15</v>
          </cell>
          <cell r="I651">
            <v>0.95</v>
          </cell>
          <cell r="J651" t="str">
            <v>Ensure average RMS sensors availability of 95% per month</v>
          </cell>
          <cell r="K651" t="str">
            <v>Achieve Average  PA &gt; 99.5% for every month staring August 2025 (refer to 'PA Glide Path' below)</v>
          </cell>
          <cell r="L651" t="str">
            <v>SWAPNIL MAHADIK</v>
          </cell>
        </row>
        <row r="652">
          <cell r="A652">
            <v>52</v>
          </cell>
          <cell r="B652" t="str">
            <v>FD00002</v>
          </cell>
          <cell r="C652" t="str">
            <v>EMMANUEL EZE</v>
          </cell>
          <cell r="D652" t="str">
            <v>Operations Manager</v>
          </cell>
          <cell r="E652" t="str">
            <v>MS Vendor SLA - Ensure 95% compliance on PPM and janitorial</v>
          </cell>
          <cell r="F652" t="str">
            <v>MS Vendor SLA - Ensure 95% compliance on PPM and janitorial</v>
          </cell>
          <cell r="G652">
            <v>0.15</v>
          </cell>
          <cell r="H652">
            <v>0.15</v>
          </cell>
          <cell r="J652" t="str">
            <v>MS Vendor SLA - Ensure 95% compliance on PPM and janitorial</v>
          </cell>
          <cell r="L652" t="str">
            <v>SWAPNIL MAHADIK</v>
          </cell>
        </row>
        <row r="653">
          <cell r="A653">
            <v>53</v>
          </cell>
          <cell r="B653" t="str">
            <v>FD00003</v>
          </cell>
          <cell r="C653" t="str">
            <v>FRANCIS ONWU INYA</v>
          </cell>
          <cell r="D653" t="str">
            <v>Operations Manager</v>
          </cell>
          <cell r="E653" t="str">
            <v>Ensure average fault per site of &lt; 2. 4 per month</v>
          </cell>
          <cell r="F653" t="str">
            <v>Ensure average fault per site of &lt; 2. 4 per month</v>
          </cell>
          <cell r="G653">
            <v>0.25</v>
          </cell>
          <cell r="H653">
            <v>0.25</v>
          </cell>
          <cell r="I653" t="str">
            <v>&lt;2.4</v>
          </cell>
          <cell r="J653" t="str">
            <v>Ensure average fault per site of &lt; 2. 4 per month</v>
          </cell>
          <cell r="K653" t="str">
            <v>Achieve Average  PA &gt; 99.5% for every month staring August 2025 (refer to 'PA Glide Path' below)</v>
          </cell>
          <cell r="L653" t="str">
            <v>SWAPNIL MAHADIK</v>
          </cell>
        </row>
        <row r="654">
          <cell r="A654">
            <v>53</v>
          </cell>
          <cell r="B654" t="str">
            <v>FD00003</v>
          </cell>
          <cell r="C654" t="str">
            <v>FRANCIS ONWU INYA</v>
          </cell>
          <cell r="D654" t="str">
            <v>Operations Manager</v>
          </cell>
          <cell r="E654" t="str">
            <v>Ensure MTTR &lt;90minutes</v>
          </cell>
          <cell r="F654" t="str">
            <v>Ensure MTTR &lt;90minutes</v>
          </cell>
          <cell r="G654">
            <v>0.2</v>
          </cell>
          <cell r="H654">
            <v>0.2</v>
          </cell>
          <cell r="I654" t="str">
            <v>&lt;90min</v>
          </cell>
          <cell r="J654" t="str">
            <v>Ensure MTTR &lt;90minutes</v>
          </cell>
          <cell r="K654" t="str">
            <v>Achieve Average  PA &gt; 99.5% for every month staring August 2025 (refer to 'PA Glide Path' below)</v>
          </cell>
          <cell r="L654" t="str">
            <v>SWAPNIL MAHADIK</v>
          </cell>
        </row>
        <row r="655">
          <cell r="A655">
            <v>53</v>
          </cell>
          <cell r="B655" t="str">
            <v>FD00003</v>
          </cell>
          <cell r="C655" t="str">
            <v>FRANCIS ONWU INYA</v>
          </cell>
          <cell r="D655" t="str">
            <v>Operations Manager</v>
          </cell>
          <cell r="E655" t="str">
            <v>65% and above sites meeting PA &gt; 99.5%</v>
          </cell>
          <cell r="F655" t="str">
            <v>65% and above sites meeting PA &gt; 99.5%</v>
          </cell>
          <cell r="G655">
            <v>0.25</v>
          </cell>
          <cell r="H655">
            <v>0.25</v>
          </cell>
          <cell r="I655">
            <v>0.65</v>
          </cell>
          <cell r="J655" t="str">
            <v>65% and above sites meeting PA &gt; 99.5%</v>
          </cell>
          <cell r="K655" t="str">
            <v>Achieve Average  PA &gt; 99.5% for every month staring August 2025 (refer to 'PA Glide Path' below)</v>
          </cell>
          <cell r="L655" t="str">
            <v>SWAPNIL MAHADIK</v>
          </cell>
        </row>
        <row r="656">
          <cell r="A656">
            <v>53</v>
          </cell>
          <cell r="B656" t="str">
            <v>FD00003</v>
          </cell>
          <cell r="C656" t="str">
            <v>FRANCIS ONWU INYA</v>
          </cell>
          <cell r="D656" t="str">
            <v>Operations Manager</v>
          </cell>
          <cell r="E656" t="str">
            <v>Ensure average RMS sensors availability of 95% per month</v>
          </cell>
          <cell r="F656" t="str">
            <v>Ensure average RMS sensors availability of 95% per month</v>
          </cell>
          <cell r="G656">
            <v>0.15</v>
          </cell>
          <cell r="H656">
            <v>0.15</v>
          </cell>
          <cell r="I656">
            <v>0.95</v>
          </cell>
          <cell r="J656" t="str">
            <v>Ensure average RMS sensors availability of 95% per month</v>
          </cell>
          <cell r="K656" t="str">
            <v>Achieve Average  PA &gt; 99.5% for every month staring August 2025 (refer to 'PA Glide Path' below)</v>
          </cell>
          <cell r="L656" t="str">
            <v>SWAPNIL MAHADIK</v>
          </cell>
        </row>
        <row r="657">
          <cell r="A657">
            <v>53</v>
          </cell>
          <cell r="B657" t="str">
            <v>FD00003</v>
          </cell>
          <cell r="C657" t="str">
            <v>FRANCIS ONWU INYA</v>
          </cell>
          <cell r="D657" t="str">
            <v>Operations Manager</v>
          </cell>
          <cell r="E657" t="str">
            <v>MS Vendor SLA - Ensure 95% compliance on PPM and janitorial</v>
          </cell>
          <cell r="F657" t="str">
            <v>MS Vendor SLA - Ensure 95% compliance on PPM and janitorial</v>
          </cell>
          <cell r="G657">
            <v>0.15</v>
          </cell>
          <cell r="H657">
            <v>0.15</v>
          </cell>
          <cell r="J657" t="str">
            <v>MS Vendor SLA - Ensure 95% compliance on PPM and janitorial</v>
          </cell>
          <cell r="L657" t="str">
            <v>SWAPNIL MAHADIK</v>
          </cell>
        </row>
        <row r="658">
          <cell r="A658">
            <v>54</v>
          </cell>
          <cell r="B658" t="str">
            <v>FD00004</v>
          </cell>
          <cell r="C658" t="str">
            <v>NONSO CHIKANI</v>
          </cell>
          <cell r="D658" t="str">
            <v>Operations Manager</v>
          </cell>
          <cell r="E658" t="str">
            <v>Ensure average fault per site of &lt; 2. 4 per month</v>
          </cell>
          <cell r="F658" t="str">
            <v>Ensure average fault per site of &lt; 2. 4 per month</v>
          </cell>
          <cell r="G658">
            <v>0.25</v>
          </cell>
          <cell r="H658">
            <v>0.25</v>
          </cell>
          <cell r="I658" t="str">
            <v>&lt;2.4</v>
          </cell>
          <cell r="J658" t="str">
            <v>Ensure average fault per site of &lt; 2. 4 per month</v>
          </cell>
          <cell r="K658" t="str">
            <v>Achieve Average  PA &gt; 99.5% for every month staring August 2025 (refer to 'PA Glide Path' below)</v>
          </cell>
          <cell r="L658" t="str">
            <v>SWAPNIL MAHADIK</v>
          </cell>
        </row>
        <row r="659">
          <cell r="A659">
            <v>54</v>
          </cell>
          <cell r="B659" t="str">
            <v>FD00004</v>
          </cell>
          <cell r="C659" t="str">
            <v>NONSO CHIKANI</v>
          </cell>
          <cell r="D659" t="str">
            <v>Operations Manager</v>
          </cell>
          <cell r="E659" t="str">
            <v>Ensure MTTR &lt;90minutes</v>
          </cell>
          <cell r="F659" t="str">
            <v>Ensure MTTR &lt;90minutes</v>
          </cell>
          <cell r="G659">
            <v>0.2</v>
          </cell>
          <cell r="H659">
            <v>0.2</v>
          </cell>
          <cell r="I659" t="str">
            <v>&lt;90min</v>
          </cell>
          <cell r="J659" t="str">
            <v>Ensure MTTR &lt;90minutes</v>
          </cell>
          <cell r="K659" t="str">
            <v>Achieve Average  PA &gt; 99.5% for every month staring August 2025 (refer to 'PA Glide Path' below)</v>
          </cell>
          <cell r="L659" t="str">
            <v>SWAPNIL MAHADIK</v>
          </cell>
        </row>
        <row r="660">
          <cell r="A660">
            <v>54</v>
          </cell>
          <cell r="B660" t="str">
            <v>FD00004</v>
          </cell>
          <cell r="C660" t="str">
            <v>NONSO CHIKANI</v>
          </cell>
          <cell r="D660" t="str">
            <v>Operations Manager</v>
          </cell>
          <cell r="E660" t="str">
            <v>65% and above sites meeting PA &gt; 99.5%</v>
          </cell>
          <cell r="F660" t="str">
            <v>65% and above sites meeting PA &gt; 99.5%</v>
          </cell>
          <cell r="G660">
            <v>0.25</v>
          </cell>
          <cell r="H660">
            <v>0.25</v>
          </cell>
          <cell r="I660">
            <v>0.65</v>
          </cell>
          <cell r="J660" t="str">
            <v>65% and above sites meeting PA &gt; 99.5%</v>
          </cell>
          <cell r="K660" t="str">
            <v>Achieve Average  PA &gt; 99.5% for every month staring August 2025 (refer to 'PA Glide Path' below)</v>
          </cell>
          <cell r="L660" t="str">
            <v>SWAPNIL MAHADIK</v>
          </cell>
        </row>
        <row r="661">
          <cell r="A661">
            <v>54</v>
          </cell>
          <cell r="B661" t="str">
            <v>FD00004</v>
          </cell>
          <cell r="C661" t="str">
            <v>NONSO CHIKANI</v>
          </cell>
          <cell r="D661" t="str">
            <v>Operations Manager</v>
          </cell>
          <cell r="E661" t="str">
            <v>Ensure average RMS sensors availability of 95% per month</v>
          </cell>
          <cell r="F661" t="str">
            <v>Ensure average RMS sensors availability of 95% per month</v>
          </cell>
          <cell r="G661">
            <v>0.15</v>
          </cell>
          <cell r="H661">
            <v>0.15</v>
          </cell>
          <cell r="I661">
            <v>0.95</v>
          </cell>
          <cell r="J661" t="str">
            <v>Ensure average RMS sensors availability of 95% per month</v>
          </cell>
          <cell r="K661" t="str">
            <v>Achieve Average  PA &gt; 99.5% for every month staring August 2025 (refer to 'PA Glide Path' below)</v>
          </cell>
          <cell r="L661" t="str">
            <v>SWAPNIL MAHADIK</v>
          </cell>
        </row>
        <row r="662">
          <cell r="A662">
            <v>54</v>
          </cell>
          <cell r="B662" t="str">
            <v>FD00004</v>
          </cell>
          <cell r="C662" t="str">
            <v>NONSO CHIKANI</v>
          </cell>
          <cell r="D662" t="str">
            <v>Operations Manager</v>
          </cell>
          <cell r="E662" t="str">
            <v>MS Vendor SLA - Ensure 95% compliance on PPM and janitorial</v>
          </cell>
          <cell r="F662" t="str">
            <v>MS Vendor SLA - Ensure 95% compliance on PPM and janitorial</v>
          </cell>
          <cell r="G662">
            <v>0.15</v>
          </cell>
          <cell r="H662">
            <v>0.15</v>
          </cell>
          <cell r="J662" t="str">
            <v>MS Vendor SLA - Ensure 95% compliance on PPM and janitorial</v>
          </cell>
          <cell r="L662" t="str">
            <v>SWAPNIL MAHADIK</v>
          </cell>
        </row>
        <row r="663">
          <cell r="A663">
            <v>55</v>
          </cell>
          <cell r="B663" t="str">
            <v>FD00005</v>
          </cell>
          <cell r="C663" t="str">
            <v xml:space="preserve">ODUNLAMI GABRIEL OLUSEYI </v>
          </cell>
          <cell r="D663" t="str">
            <v>Operations Manager</v>
          </cell>
          <cell r="E663" t="str">
            <v>Ensure average fault per site of &lt; 2. 4 per month</v>
          </cell>
          <cell r="F663" t="str">
            <v>Ensure average fault per site of &lt; 2. 4 per month</v>
          </cell>
          <cell r="G663">
            <v>0.25</v>
          </cell>
          <cell r="H663">
            <v>0.25</v>
          </cell>
          <cell r="I663" t="str">
            <v>&lt;2.4</v>
          </cell>
          <cell r="J663" t="str">
            <v>Ensure average fault per site of &lt; 2. 4 per month</v>
          </cell>
          <cell r="K663" t="str">
            <v>Achieve Average  PA &gt; 99.5% for every month staring August 2025 (refer to 'PA Glide Path' below)</v>
          </cell>
          <cell r="L663" t="str">
            <v>SWAPNIL MAHADIK</v>
          </cell>
        </row>
        <row r="664">
          <cell r="A664">
            <v>55</v>
          </cell>
          <cell r="B664" t="str">
            <v>FD00005</v>
          </cell>
          <cell r="C664" t="str">
            <v xml:space="preserve">ODUNLAMI GABRIEL OLUSEYI </v>
          </cell>
          <cell r="D664" t="str">
            <v>Operations Manager</v>
          </cell>
          <cell r="E664" t="str">
            <v>Ensure MTTR &lt;90minutes</v>
          </cell>
          <cell r="F664" t="str">
            <v>Ensure MTTR &lt;90minutes</v>
          </cell>
          <cell r="G664">
            <v>0.2</v>
          </cell>
          <cell r="H664">
            <v>0.2</v>
          </cell>
          <cell r="I664" t="str">
            <v>&lt;90min</v>
          </cell>
          <cell r="J664" t="str">
            <v>Ensure MTTR &lt;90minutes</v>
          </cell>
          <cell r="K664" t="str">
            <v>Achieve Average  PA &gt; 99.5% for every month staring August 2025 (refer to 'PA Glide Path' below)</v>
          </cell>
          <cell r="L664" t="str">
            <v>SWAPNIL MAHADIK</v>
          </cell>
        </row>
        <row r="665">
          <cell r="A665">
            <v>55</v>
          </cell>
          <cell r="B665" t="str">
            <v>FD00005</v>
          </cell>
          <cell r="C665" t="str">
            <v xml:space="preserve">ODUNLAMI GABRIEL OLUSEYI </v>
          </cell>
          <cell r="D665" t="str">
            <v>Operations Manager</v>
          </cell>
          <cell r="E665" t="str">
            <v>65% and above sites meeting PA &gt; 99.5%</v>
          </cell>
          <cell r="F665" t="str">
            <v>65% and above sites meeting PA &gt; 99.5%</v>
          </cell>
          <cell r="G665">
            <v>0.25</v>
          </cell>
          <cell r="H665">
            <v>0.25</v>
          </cell>
          <cell r="I665">
            <v>0.65</v>
          </cell>
          <cell r="J665" t="str">
            <v>65% and above sites meeting PA &gt; 99.5%</v>
          </cell>
          <cell r="K665" t="str">
            <v>Achieve Average  PA &gt; 99.5% for every month staring August 2025 (refer to 'PA Glide Path' below)</v>
          </cell>
          <cell r="L665" t="str">
            <v>SWAPNIL MAHADIK</v>
          </cell>
        </row>
        <row r="666">
          <cell r="A666">
            <v>55</v>
          </cell>
          <cell r="B666" t="str">
            <v>FD00005</v>
          </cell>
          <cell r="C666" t="str">
            <v xml:space="preserve">ODUNLAMI GABRIEL OLUSEYI </v>
          </cell>
          <cell r="D666" t="str">
            <v>Operations Manager</v>
          </cell>
          <cell r="E666" t="str">
            <v>Ensure average RMS sensors availability of 95% per month</v>
          </cell>
          <cell r="F666" t="str">
            <v>Ensure average RMS sensors availability of 95% per month</v>
          </cell>
          <cell r="G666">
            <v>0.15</v>
          </cell>
          <cell r="H666">
            <v>0.15</v>
          </cell>
          <cell r="I666">
            <v>0.95</v>
          </cell>
          <cell r="J666" t="str">
            <v>Ensure average RMS sensors availability of 95% per month</v>
          </cell>
          <cell r="K666" t="str">
            <v>Achieve Average  PA &gt; 99.5% for every month staring August 2025 (refer to 'PA Glide Path' below)</v>
          </cell>
          <cell r="L666" t="str">
            <v>SWAPNIL MAHADIK</v>
          </cell>
        </row>
        <row r="667">
          <cell r="A667">
            <v>55</v>
          </cell>
          <cell r="B667" t="str">
            <v>FD00005</v>
          </cell>
          <cell r="C667" t="str">
            <v xml:space="preserve">ODUNLAMI GABRIEL OLUSEYI </v>
          </cell>
          <cell r="D667" t="str">
            <v>Operations Manager</v>
          </cell>
          <cell r="E667" t="str">
            <v>MS Vendor SLA - Ensure 95% compliance on PPM and janitorial</v>
          </cell>
          <cell r="F667" t="str">
            <v>MS Vendor SLA - Ensure 95% compliance on PPM and janitorial</v>
          </cell>
          <cell r="G667">
            <v>0.15</v>
          </cell>
          <cell r="H667">
            <v>0.15</v>
          </cell>
          <cell r="J667" t="str">
            <v>MS Vendor SLA - Ensure 95% compliance on PPM and janitorial</v>
          </cell>
          <cell r="L667" t="str">
            <v>SWAPNIL MAHADIK</v>
          </cell>
        </row>
        <row r="668">
          <cell r="A668">
            <v>56</v>
          </cell>
          <cell r="B668" t="str">
            <v>FD00006</v>
          </cell>
          <cell r="C668" t="str">
            <v>EMMANUEL-OLADIMEJI OLAYINKA</v>
          </cell>
          <cell r="D668" t="str">
            <v>Operations Manager</v>
          </cell>
          <cell r="E668" t="str">
            <v>Ensure average fault per site of &lt; 2. 4 per month</v>
          </cell>
          <cell r="F668" t="str">
            <v>Ensure average fault per site of &lt; 2. 4 per month</v>
          </cell>
          <cell r="G668">
            <v>0.25</v>
          </cell>
          <cell r="H668">
            <v>0.25</v>
          </cell>
          <cell r="I668" t="str">
            <v>&lt;2.4</v>
          </cell>
          <cell r="J668" t="str">
            <v>Ensure average fault per site of &lt; 2. 4 per month</v>
          </cell>
          <cell r="K668" t="str">
            <v>Achieve Average  PA &gt; 99.5% for every month staring August 2025 (refer to 'PA Glide Path' below)</v>
          </cell>
          <cell r="L668" t="str">
            <v>SWAPNIL MAHADIK</v>
          </cell>
        </row>
        <row r="669">
          <cell r="A669">
            <v>56</v>
          </cell>
          <cell r="B669" t="str">
            <v>FD00006</v>
          </cell>
          <cell r="C669" t="str">
            <v>EMMANUEL-OLADIMEJI OLAYINKA</v>
          </cell>
          <cell r="D669" t="str">
            <v>Operations Manager</v>
          </cell>
          <cell r="E669" t="str">
            <v>Ensure MTTR &lt;90minutes</v>
          </cell>
          <cell r="F669" t="str">
            <v>Ensure MTTR &lt;90minutes</v>
          </cell>
          <cell r="G669">
            <v>0.2</v>
          </cell>
          <cell r="H669">
            <v>0.2</v>
          </cell>
          <cell r="I669" t="str">
            <v>&lt;90min</v>
          </cell>
          <cell r="J669" t="str">
            <v>Ensure MTTR &lt;90minutes</v>
          </cell>
          <cell r="K669" t="str">
            <v>Achieve Average  PA &gt; 99.5% for every month staring August 2025 (refer to 'PA Glide Path' below)</v>
          </cell>
          <cell r="L669" t="str">
            <v>SWAPNIL MAHADIK</v>
          </cell>
        </row>
        <row r="670">
          <cell r="A670">
            <v>56</v>
          </cell>
          <cell r="B670" t="str">
            <v>FD00006</v>
          </cell>
          <cell r="C670" t="str">
            <v>EMMANUEL-OLADIMEJI OLAYINKA</v>
          </cell>
          <cell r="D670" t="str">
            <v>Operations Manager</v>
          </cell>
          <cell r="E670" t="str">
            <v>65% and above sites meeting PA &gt; 99.5%</v>
          </cell>
          <cell r="F670" t="str">
            <v>65% and above sites meeting PA &gt; 99.5%</v>
          </cell>
          <cell r="G670">
            <v>0.25</v>
          </cell>
          <cell r="H670">
            <v>0.25</v>
          </cell>
          <cell r="I670">
            <v>0.65</v>
          </cell>
          <cell r="J670" t="str">
            <v>65% and above sites meeting PA &gt; 99.5%</v>
          </cell>
          <cell r="K670" t="str">
            <v>Achieve Average  PA &gt; 99.5% for every month staring August 2025 (refer to 'PA Glide Path' below)</v>
          </cell>
          <cell r="L670" t="str">
            <v>SWAPNIL MAHADIK</v>
          </cell>
        </row>
        <row r="671">
          <cell r="A671">
            <v>56</v>
          </cell>
          <cell r="B671" t="str">
            <v>FD00006</v>
          </cell>
          <cell r="C671" t="str">
            <v>EMMANUEL-OLADIMEJI OLAYINKA</v>
          </cell>
          <cell r="D671" t="str">
            <v>Operations Manager</v>
          </cell>
          <cell r="E671" t="str">
            <v>Ensure average RMS sensors availability of 95% per month</v>
          </cell>
          <cell r="F671" t="str">
            <v>Ensure average RMS sensors availability of 95% per month</v>
          </cell>
          <cell r="G671">
            <v>0.15</v>
          </cell>
          <cell r="H671">
            <v>0.15</v>
          </cell>
          <cell r="I671">
            <v>0.95</v>
          </cell>
          <cell r="J671" t="str">
            <v>Ensure average RMS sensors availability of 95% per month</v>
          </cell>
          <cell r="K671" t="str">
            <v>Achieve Average  PA &gt; 99.5% for every month staring August 2025 (refer to 'PA Glide Path' below)</v>
          </cell>
          <cell r="L671" t="str">
            <v>SWAPNIL MAHADIK</v>
          </cell>
        </row>
        <row r="672">
          <cell r="A672">
            <v>56</v>
          </cell>
          <cell r="B672" t="str">
            <v>FD00006</v>
          </cell>
          <cell r="C672" t="str">
            <v>EMMANUEL-OLADIMEJI OLAYINKA</v>
          </cell>
          <cell r="D672" t="str">
            <v>Operations Manager</v>
          </cell>
          <cell r="E672" t="str">
            <v>MS Vendor SLA - Ensure 95% compliance on PPM and janitorial</v>
          </cell>
          <cell r="F672" t="str">
            <v>MS Vendor SLA - Ensure 95% compliance on PPM and janitorial</v>
          </cell>
          <cell r="G672">
            <v>0.15</v>
          </cell>
          <cell r="H672">
            <v>0.15</v>
          </cell>
          <cell r="J672" t="str">
            <v>MS Vendor SLA - Ensure 95% compliance on PPM and janitorial</v>
          </cell>
          <cell r="L672" t="str">
            <v>SWAPNIL MAHADIK</v>
          </cell>
        </row>
        <row r="673">
          <cell r="A673">
            <v>57</v>
          </cell>
          <cell r="B673" t="str">
            <v>FD00007</v>
          </cell>
          <cell r="C673" t="str">
            <v>OJOGUNA UGBETA</v>
          </cell>
          <cell r="D673" t="str">
            <v>Operations Manager</v>
          </cell>
          <cell r="E673" t="str">
            <v>Ensure average fault per site of &lt; 2. 4 per month</v>
          </cell>
          <cell r="F673" t="str">
            <v>Ensure average fault per site of &lt; 2. 4 per month</v>
          </cell>
          <cell r="G673">
            <v>0.25</v>
          </cell>
          <cell r="H673">
            <v>0.25</v>
          </cell>
          <cell r="I673" t="str">
            <v>&lt;2.4</v>
          </cell>
          <cell r="J673" t="str">
            <v>Ensure average fault per site of &lt; 2. 4 per month</v>
          </cell>
          <cell r="K673" t="str">
            <v>Achieve Average  PA &gt; 99.5% for every month staring August 2025 (refer to 'PA Glide Path' below)</v>
          </cell>
          <cell r="L673" t="str">
            <v>SWAPNIL MAHADIK</v>
          </cell>
        </row>
        <row r="674">
          <cell r="A674">
            <v>57</v>
          </cell>
          <cell r="B674" t="str">
            <v>FD00007</v>
          </cell>
          <cell r="C674" t="str">
            <v>OJOGUNA UGBETA</v>
          </cell>
          <cell r="D674" t="str">
            <v>Operations Manager</v>
          </cell>
          <cell r="E674" t="str">
            <v>Ensure MTTR &lt;90minutes</v>
          </cell>
          <cell r="F674" t="str">
            <v>Ensure MTTR &lt;90minutes</v>
          </cell>
          <cell r="G674">
            <v>0.2</v>
          </cell>
          <cell r="H674">
            <v>0.2</v>
          </cell>
          <cell r="I674" t="str">
            <v>&lt;90min</v>
          </cell>
          <cell r="J674" t="str">
            <v>Ensure MTTR &lt;90minutes</v>
          </cell>
          <cell r="K674" t="str">
            <v>Achieve Average  PA &gt; 99.5% for every month staring August 2025 (refer to 'PA Glide Path' below)</v>
          </cell>
          <cell r="L674" t="str">
            <v>SWAPNIL MAHADIK</v>
          </cell>
        </row>
        <row r="675">
          <cell r="A675">
            <v>57</v>
          </cell>
          <cell r="B675" t="str">
            <v>FD00007</v>
          </cell>
          <cell r="C675" t="str">
            <v>OJOGUNA UGBETA</v>
          </cell>
          <cell r="D675" t="str">
            <v>Operations Manager</v>
          </cell>
          <cell r="E675" t="str">
            <v>65% and above sites meeting PA &gt; 99.5%</v>
          </cell>
          <cell r="F675" t="str">
            <v>65% and above sites meeting PA &gt; 99.5%</v>
          </cell>
          <cell r="G675">
            <v>0.25</v>
          </cell>
          <cell r="H675">
            <v>0.25</v>
          </cell>
          <cell r="I675">
            <v>0.65</v>
          </cell>
          <cell r="J675" t="str">
            <v>65% and above sites meeting PA &gt; 99.5%</v>
          </cell>
          <cell r="K675" t="str">
            <v>Achieve Average  PA &gt; 99.5% for every month staring August 2025 (refer to 'PA Glide Path' below)</v>
          </cell>
          <cell r="L675" t="str">
            <v>SWAPNIL MAHADIK</v>
          </cell>
        </row>
        <row r="676">
          <cell r="A676">
            <v>57</v>
          </cell>
          <cell r="B676" t="str">
            <v>FD00007</v>
          </cell>
          <cell r="C676" t="str">
            <v>OJOGUNA UGBETA</v>
          </cell>
          <cell r="D676" t="str">
            <v>Operations Manager</v>
          </cell>
          <cell r="E676" t="str">
            <v>Ensure average RMS sensors availability of 95% per month</v>
          </cell>
          <cell r="F676" t="str">
            <v>Ensure average RMS sensors availability of 95% per month</v>
          </cell>
          <cell r="G676">
            <v>0.15</v>
          </cell>
          <cell r="H676">
            <v>0.15</v>
          </cell>
          <cell r="I676">
            <v>0.95</v>
          </cell>
          <cell r="J676" t="str">
            <v>Ensure average RMS sensors availability of 95% per month</v>
          </cell>
          <cell r="K676" t="str">
            <v>Achieve Average  PA &gt; 99.5% for every month staring August 2025 (refer to 'PA Glide Path' below)</v>
          </cell>
          <cell r="L676" t="str">
            <v>SWAPNIL MAHADIK</v>
          </cell>
        </row>
        <row r="677">
          <cell r="A677">
            <v>57</v>
          </cell>
          <cell r="B677" t="str">
            <v>FD00007</v>
          </cell>
          <cell r="C677" t="str">
            <v>OJOGUNA UGBETA</v>
          </cell>
          <cell r="D677" t="str">
            <v>Operations Manager</v>
          </cell>
          <cell r="E677" t="str">
            <v>MS Vendor SLA - Ensure 95% compliance on PPM and janitorial</v>
          </cell>
          <cell r="F677" t="str">
            <v>MS Vendor SLA - Ensure 95% compliance on PPM and janitorial</v>
          </cell>
          <cell r="G677">
            <v>0.15</v>
          </cell>
          <cell r="H677">
            <v>0.15</v>
          </cell>
          <cell r="J677" t="str">
            <v>MS Vendor SLA - Ensure 95% compliance on PPM and janitorial</v>
          </cell>
          <cell r="L677" t="str">
            <v>SWAPNIL MAHADIK</v>
          </cell>
        </row>
        <row r="678">
          <cell r="A678">
            <v>58</v>
          </cell>
          <cell r="B678" t="str">
            <v>FD00008</v>
          </cell>
          <cell r="C678" t="str">
            <v>OLALEKAN EMMANUEL ADEESO</v>
          </cell>
          <cell r="D678" t="str">
            <v>Operations Manager</v>
          </cell>
          <cell r="E678" t="str">
            <v>Ensure average fault per site of &lt; 2. 4 per month</v>
          </cell>
          <cell r="F678" t="str">
            <v>Ensure average fault per site of &lt; 2. 4 per month</v>
          </cell>
          <cell r="G678">
            <v>0.25</v>
          </cell>
          <cell r="H678">
            <v>0.25</v>
          </cell>
          <cell r="I678" t="str">
            <v>&lt;2.4</v>
          </cell>
          <cell r="J678" t="str">
            <v>Ensure average fault per site of &lt; 2. 4 per month</v>
          </cell>
          <cell r="K678" t="str">
            <v>Achieve Average  PA &gt; 99.5% for every month staring August 2025 (refer to 'PA Glide Path' below)</v>
          </cell>
          <cell r="L678" t="str">
            <v>FEMI PHILLIPS OLADIPUPO</v>
          </cell>
        </row>
        <row r="679">
          <cell r="A679">
            <v>58</v>
          </cell>
          <cell r="B679" t="str">
            <v>FD00008</v>
          </cell>
          <cell r="C679" t="str">
            <v>OLALEKAN EMMANUEL ADEESO</v>
          </cell>
          <cell r="D679" t="str">
            <v>Operations Manager</v>
          </cell>
          <cell r="E679" t="str">
            <v>Ensure MTTR &lt;90minutes</v>
          </cell>
          <cell r="F679" t="str">
            <v>Ensure MTTR &lt;90minutes</v>
          </cell>
          <cell r="G679">
            <v>0.2</v>
          </cell>
          <cell r="H679">
            <v>0.2</v>
          </cell>
          <cell r="I679" t="str">
            <v>&lt;90min</v>
          </cell>
          <cell r="J679" t="str">
            <v>Ensure MTTR &lt;90minutes</v>
          </cell>
          <cell r="K679" t="str">
            <v>Achieve Average  PA &gt; 99.5% for every month staring August 2025 (refer to 'PA Glide Path' below)</v>
          </cell>
          <cell r="L679" t="str">
            <v>FEMI PHILLIPS OLADIPUPO</v>
          </cell>
        </row>
        <row r="680">
          <cell r="A680">
            <v>58</v>
          </cell>
          <cell r="B680" t="str">
            <v>FD00008</v>
          </cell>
          <cell r="C680" t="str">
            <v>OLALEKAN EMMANUEL ADEESO</v>
          </cell>
          <cell r="D680" t="str">
            <v>Operations Manager</v>
          </cell>
          <cell r="E680" t="str">
            <v>65% and above sites meeting PA &gt; 99.5%</v>
          </cell>
          <cell r="F680" t="str">
            <v>65% and above sites meeting PA &gt; 99.5%</v>
          </cell>
          <cell r="G680">
            <v>0.25</v>
          </cell>
          <cell r="H680">
            <v>0.25</v>
          </cell>
          <cell r="I680">
            <v>0.65</v>
          </cell>
          <cell r="J680" t="str">
            <v>65% and above sites meeting PA &gt; 99.5%</v>
          </cell>
          <cell r="K680" t="str">
            <v>Achieve Average  PA &gt; 99.5% for every month staring August 2025 (refer to 'PA Glide Path' below)</v>
          </cell>
          <cell r="L680" t="str">
            <v>FEMI PHILLIPS OLADIPUPO</v>
          </cell>
        </row>
        <row r="681">
          <cell r="A681">
            <v>58</v>
          </cell>
          <cell r="B681" t="str">
            <v>FD00008</v>
          </cell>
          <cell r="C681" t="str">
            <v>OLALEKAN EMMANUEL ADEESO</v>
          </cell>
          <cell r="D681" t="str">
            <v>Operations Manager</v>
          </cell>
          <cell r="E681" t="str">
            <v>Ensure average RMS sensors availability of 95% per month</v>
          </cell>
          <cell r="F681" t="str">
            <v>Ensure average RMS sensors availability of 95% per month</v>
          </cell>
          <cell r="G681">
            <v>0.15</v>
          </cell>
          <cell r="H681">
            <v>0.15</v>
          </cell>
          <cell r="I681">
            <v>0.95</v>
          </cell>
          <cell r="J681" t="str">
            <v>Ensure average RMS sensors availability of 95% per month</v>
          </cell>
          <cell r="K681" t="str">
            <v>Achieve Average  PA &gt; 99.5% for every month staring August 2025 (refer to 'PA Glide Path' below)</v>
          </cell>
          <cell r="L681" t="str">
            <v>FEMI PHILLIPS OLADIPUPO</v>
          </cell>
        </row>
        <row r="682">
          <cell r="A682">
            <v>58</v>
          </cell>
          <cell r="B682" t="str">
            <v>FD00008</v>
          </cell>
          <cell r="C682" t="str">
            <v>OLALEKAN EMMANUEL ADEESO</v>
          </cell>
          <cell r="D682" t="str">
            <v>Operations Manager</v>
          </cell>
          <cell r="E682" t="str">
            <v>MS Vendor SLA - Ensure 95% compliance on PPM and janitorial</v>
          </cell>
          <cell r="F682" t="str">
            <v>MS Vendor SLA - Ensure 95% compliance on PPM and janitorial</v>
          </cell>
          <cell r="G682">
            <v>0.15</v>
          </cell>
          <cell r="H682">
            <v>0.15</v>
          </cell>
          <cell r="J682" t="str">
            <v>MS Vendor SLA - Ensure 95% compliance on PPM and janitorial</v>
          </cell>
          <cell r="L682" t="str">
            <v>FEMI PHILLIPS OLADIPUPO</v>
          </cell>
        </row>
        <row r="683">
          <cell r="A683">
            <v>59</v>
          </cell>
          <cell r="B683" t="str">
            <v>FD00009</v>
          </cell>
          <cell r="C683" t="str">
            <v>JEPHTHAH BELLO</v>
          </cell>
          <cell r="D683" t="str">
            <v>Operations Manager</v>
          </cell>
          <cell r="E683" t="str">
            <v>Ensure average fault per site of &lt; 2. 4 per month</v>
          </cell>
          <cell r="F683" t="str">
            <v>Ensure average fault per site of &lt; 2. 4 per month</v>
          </cell>
          <cell r="G683">
            <v>0.25</v>
          </cell>
          <cell r="H683">
            <v>0.25</v>
          </cell>
          <cell r="I683" t="str">
            <v>&lt;2.4</v>
          </cell>
          <cell r="J683" t="str">
            <v>Ensure average fault per site of &lt; 2. 4 per month</v>
          </cell>
          <cell r="K683" t="str">
            <v>Achieve Average  PA &gt; 99.5% for every month staring August 2025 (refer to 'PA Glide Path' below)</v>
          </cell>
          <cell r="L683" t="str">
            <v>BARNABAS AKUHWA</v>
          </cell>
        </row>
        <row r="684">
          <cell r="A684">
            <v>59</v>
          </cell>
          <cell r="B684" t="str">
            <v>FD00009</v>
          </cell>
          <cell r="C684" t="str">
            <v>JEPHTHAH BELLO</v>
          </cell>
          <cell r="D684" t="str">
            <v>Operations Manager</v>
          </cell>
          <cell r="E684" t="str">
            <v>Ensure MTTR &lt;90minutes</v>
          </cell>
          <cell r="F684" t="str">
            <v>Ensure MTTR &lt;90minutes</v>
          </cell>
          <cell r="G684">
            <v>0.2</v>
          </cell>
          <cell r="H684">
            <v>0.2</v>
          </cell>
          <cell r="I684" t="str">
            <v>&lt;90min</v>
          </cell>
          <cell r="J684" t="str">
            <v>Ensure MTTR &lt;90minutes</v>
          </cell>
          <cell r="K684" t="str">
            <v>Achieve Average  PA &gt; 99.5% for every month staring August 2025 (refer to 'PA Glide Path' below)</v>
          </cell>
          <cell r="L684" t="str">
            <v>BARNABAS AKUHWA</v>
          </cell>
        </row>
        <row r="685">
          <cell r="A685">
            <v>59</v>
          </cell>
          <cell r="B685" t="str">
            <v>FD00009</v>
          </cell>
          <cell r="C685" t="str">
            <v>JEPHTHAH BELLO</v>
          </cell>
          <cell r="D685" t="str">
            <v>Operations Manager</v>
          </cell>
          <cell r="E685" t="str">
            <v>65% and above sites meeting PA &gt; 99.5%</v>
          </cell>
          <cell r="F685" t="str">
            <v>65% and above sites meeting PA &gt; 99.5%</v>
          </cell>
          <cell r="G685">
            <v>0.25</v>
          </cell>
          <cell r="H685">
            <v>0.25</v>
          </cell>
          <cell r="I685">
            <v>0.65</v>
          </cell>
          <cell r="J685" t="str">
            <v>65% and above sites meeting PA &gt; 99.5%</v>
          </cell>
          <cell r="K685" t="str">
            <v>Achieve Average  PA &gt; 99.5% for every month staring August 2025 (refer to 'PA Glide Path' below)</v>
          </cell>
          <cell r="L685" t="str">
            <v>BARNABAS AKUHWA</v>
          </cell>
        </row>
        <row r="686">
          <cell r="A686">
            <v>59</v>
          </cell>
          <cell r="B686" t="str">
            <v>FD00009</v>
          </cell>
          <cell r="C686" t="str">
            <v>JEPHTHAH BELLO</v>
          </cell>
          <cell r="D686" t="str">
            <v>Operations Manager</v>
          </cell>
          <cell r="E686" t="str">
            <v>Ensure average RMS sensors availability of 95% per month</v>
          </cell>
          <cell r="F686" t="str">
            <v>Ensure average RMS sensors availability of 95% per month</v>
          </cell>
          <cell r="G686">
            <v>0.15</v>
          </cell>
          <cell r="H686">
            <v>0.15</v>
          </cell>
          <cell r="I686">
            <v>0.95</v>
          </cell>
          <cell r="J686" t="str">
            <v>Ensure average RMS sensors availability of 95% per month</v>
          </cell>
          <cell r="K686" t="str">
            <v>Achieve Average  PA &gt; 99.5% for every month staring August 2025 (refer to 'PA Glide Path' below)</v>
          </cell>
          <cell r="L686" t="str">
            <v>BARNABAS AKUHWA</v>
          </cell>
        </row>
        <row r="687">
          <cell r="A687">
            <v>59</v>
          </cell>
          <cell r="B687" t="str">
            <v>FD00009</v>
          </cell>
          <cell r="C687" t="str">
            <v>JEPHTHAH BELLO</v>
          </cell>
          <cell r="D687" t="str">
            <v>Operations Manager</v>
          </cell>
          <cell r="E687" t="str">
            <v>MS Vendor SLA - Ensure 95% compliance on PPM and janitorial</v>
          </cell>
          <cell r="F687" t="str">
            <v>MS Vendor SLA - Ensure 95% compliance on PPM and janitorial</v>
          </cell>
          <cell r="G687">
            <v>0.15</v>
          </cell>
          <cell r="H687">
            <v>0.15</v>
          </cell>
          <cell r="J687" t="str">
            <v>MS Vendor SLA - Ensure 95% compliance on PPM and janitorial</v>
          </cell>
          <cell r="L687" t="str">
            <v>BARNABAS AKUHWA</v>
          </cell>
        </row>
        <row r="688">
          <cell r="A688">
            <v>60</v>
          </cell>
          <cell r="B688" t="str">
            <v>FD00010</v>
          </cell>
          <cell r="C688" t="str">
            <v>GEMU GARBA PHILIBUS</v>
          </cell>
          <cell r="D688" t="str">
            <v>Operations Manager</v>
          </cell>
          <cell r="E688" t="str">
            <v>Ensure average fault per site of &lt; 2. 4 per month</v>
          </cell>
          <cell r="F688" t="str">
            <v>Ensure average fault per site of &lt; 2. 4 per month</v>
          </cell>
          <cell r="G688">
            <v>0.25</v>
          </cell>
          <cell r="H688">
            <v>0.25</v>
          </cell>
          <cell r="I688" t="str">
            <v>&lt;2.4</v>
          </cell>
          <cell r="J688" t="str">
            <v>Ensure average fault per site of &lt; 2. 4 per month</v>
          </cell>
          <cell r="K688" t="str">
            <v>Achieve Average  PA &gt; 99.5% for every month staring August 2025 (refer to 'PA Glide Path' below)</v>
          </cell>
          <cell r="L688" t="str">
            <v>FRANCIS ONWU INYA</v>
          </cell>
        </row>
        <row r="689">
          <cell r="A689">
            <v>60</v>
          </cell>
          <cell r="B689" t="str">
            <v>FD00010</v>
          </cell>
          <cell r="C689" t="str">
            <v>GEMU GARBA PHILIBUS</v>
          </cell>
          <cell r="D689" t="str">
            <v>Operations Manager</v>
          </cell>
          <cell r="E689" t="str">
            <v>Ensure MTTR &lt;90minutes</v>
          </cell>
          <cell r="F689" t="str">
            <v>Ensure MTTR &lt;90minutes</v>
          </cell>
          <cell r="G689">
            <v>0.2</v>
          </cell>
          <cell r="H689">
            <v>0.2</v>
          </cell>
          <cell r="I689" t="str">
            <v>&lt;90min</v>
          </cell>
          <cell r="J689" t="str">
            <v>Ensure MTTR &lt;90minutes</v>
          </cell>
          <cell r="K689" t="str">
            <v>Achieve Average  PA &gt; 99.5% for every month staring August 2025 (refer to 'PA Glide Path' below)</v>
          </cell>
          <cell r="L689" t="str">
            <v>FRANCIS ONWU INYA</v>
          </cell>
        </row>
        <row r="690">
          <cell r="A690">
            <v>60</v>
          </cell>
          <cell r="B690" t="str">
            <v>FD00010</v>
          </cell>
          <cell r="C690" t="str">
            <v>GEMU GARBA PHILIBUS</v>
          </cell>
          <cell r="D690" t="str">
            <v>Operations Manager</v>
          </cell>
          <cell r="E690" t="str">
            <v>65% and above sites meeting PA &gt; 99.5%</v>
          </cell>
          <cell r="F690" t="str">
            <v>65% and above sites meeting PA &gt; 99.5%</v>
          </cell>
          <cell r="G690">
            <v>0.25</v>
          </cell>
          <cell r="H690">
            <v>0.25</v>
          </cell>
          <cell r="I690">
            <v>0.65</v>
          </cell>
          <cell r="J690" t="str">
            <v>65% and above sites meeting PA &gt; 99.5%</v>
          </cell>
          <cell r="K690" t="str">
            <v>Achieve Average  PA &gt; 99.5% for every month staring August 2025 (refer to 'PA Glide Path' below)</v>
          </cell>
          <cell r="L690" t="str">
            <v>FRANCIS ONWU INYA</v>
          </cell>
        </row>
        <row r="691">
          <cell r="A691">
            <v>60</v>
          </cell>
          <cell r="B691" t="str">
            <v>FD00010</v>
          </cell>
          <cell r="C691" t="str">
            <v>GEMU GARBA PHILIBUS</v>
          </cell>
          <cell r="D691" t="str">
            <v>Operations Manager</v>
          </cell>
          <cell r="E691" t="str">
            <v>Ensure average RMS sensors availability of 95% per month</v>
          </cell>
          <cell r="F691" t="str">
            <v>Ensure average RMS sensors availability of 95% per month</v>
          </cell>
          <cell r="G691">
            <v>0.15</v>
          </cell>
          <cell r="H691">
            <v>0.15</v>
          </cell>
          <cell r="I691">
            <v>0.95</v>
          </cell>
          <cell r="J691" t="str">
            <v>Ensure average RMS sensors availability of 95% per month</v>
          </cell>
          <cell r="K691" t="str">
            <v>Achieve Average  PA &gt; 99.5% for every month staring August 2025 (refer to 'PA Glide Path' below)</v>
          </cell>
          <cell r="L691" t="str">
            <v>FRANCIS ONWU INYA</v>
          </cell>
        </row>
        <row r="692">
          <cell r="A692">
            <v>60</v>
          </cell>
          <cell r="B692" t="str">
            <v>FD00010</v>
          </cell>
          <cell r="C692" t="str">
            <v>GEMU GARBA PHILIBUS</v>
          </cell>
          <cell r="D692" t="str">
            <v>Operations Manager</v>
          </cell>
          <cell r="E692" t="str">
            <v>MS Vendor SLA - Ensure 95% compliance on PPM and janitorial</v>
          </cell>
          <cell r="F692" t="str">
            <v>MS Vendor SLA - Ensure 95% compliance on PPM and janitorial</v>
          </cell>
          <cell r="G692">
            <v>0.15</v>
          </cell>
          <cell r="H692">
            <v>0.15</v>
          </cell>
          <cell r="J692" t="str">
            <v>MS Vendor SLA - Ensure 95% compliance on PPM and janitorial</v>
          </cell>
          <cell r="L692" t="str">
            <v>FRANCIS ONWU INYA</v>
          </cell>
        </row>
        <row r="693">
          <cell r="A693">
            <v>61</v>
          </cell>
          <cell r="B693" t="str">
            <v>FD00011</v>
          </cell>
          <cell r="C693" t="str">
            <v>SUNDAY MATHIAS AKPAN</v>
          </cell>
          <cell r="D693" t="str">
            <v>Operations Manager</v>
          </cell>
          <cell r="E693" t="str">
            <v>Ensure average fault per site of &lt; 2. 4 per month</v>
          </cell>
          <cell r="F693" t="str">
            <v>Ensure average fault per site of &lt; 2. 4 per month</v>
          </cell>
          <cell r="G693">
            <v>0.25</v>
          </cell>
          <cell r="H693">
            <v>0.25</v>
          </cell>
          <cell r="I693" t="str">
            <v>&lt;2.4</v>
          </cell>
          <cell r="J693" t="str">
            <v>Ensure average fault per site of &lt; 2. 4 per month</v>
          </cell>
          <cell r="K693" t="str">
            <v>Achieve Average  PA &gt; 99.5% for every month staring August 2025 (refer to 'PA Glide Path' below)</v>
          </cell>
          <cell r="L693" t="str">
            <v>FRANCIS ONWU INYA</v>
          </cell>
        </row>
        <row r="694">
          <cell r="A694">
            <v>61</v>
          </cell>
          <cell r="B694" t="str">
            <v>FD00011</v>
          </cell>
          <cell r="C694" t="str">
            <v>SUNDAY MATHIAS AKPAN</v>
          </cell>
          <cell r="D694" t="str">
            <v>Operations Manager</v>
          </cell>
          <cell r="E694" t="str">
            <v>Ensure MTTR &lt;90minutes</v>
          </cell>
          <cell r="F694" t="str">
            <v>Ensure MTTR &lt;90minutes</v>
          </cell>
          <cell r="G694">
            <v>0.2</v>
          </cell>
          <cell r="H694">
            <v>0.2</v>
          </cell>
          <cell r="I694" t="str">
            <v>&lt;90min</v>
          </cell>
          <cell r="J694" t="str">
            <v>Ensure MTTR &lt;90minutes</v>
          </cell>
          <cell r="K694" t="str">
            <v>Achieve Average  PA &gt; 99.5% for every month staring August 2025 (refer to 'PA Glide Path' below)</v>
          </cell>
          <cell r="L694" t="str">
            <v>FRANCIS ONWU INYA</v>
          </cell>
        </row>
        <row r="695">
          <cell r="A695">
            <v>61</v>
          </cell>
          <cell r="B695" t="str">
            <v>FD00011</v>
          </cell>
          <cell r="C695" t="str">
            <v>SUNDAY MATHIAS AKPAN</v>
          </cell>
          <cell r="D695" t="str">
            <v>Operations Manager</v>
          </cell>
          <cell r="E695" t="str">
            <v>65% and above sites meeting PA &gt; 99.5%</v>
          </cell>
          <cell r="F695" t="str">
            <v>65% and above sites meeting PA &gt; 99.5%</v>
          </cell>
          <cell r="G695">
            <v>0.25</v>
          </cell>
          <cell r="H695">
            <v>0.25</v>
          </cell>
          <cell r="I695">
            <v>0.65</v>
          </cell>
          <cell r="J695" t="str">
            <v>65% and above sites meeting PA &gt; 99.5%</v>
          </cell>
          <cell r="K695" t="str">
            <v>Achieve Average  PA &gt; 99.5% for every month staring August 2025 (refer to 'PA Glide Path' below)</v>
          </cell>
          <cell r="L695" t="str">
            <v>FRANCIS ONWU INYA</v>
          </cell>
        </row>
        <row r="696">
          <cell r="A696">
            <v>61</v>
          </cell>
          <cell r="B696" t="str">
            <v>FD00011</v>
          </cell>
          <cell r="C696" t="str">
            <v>SUNDAY MATHIAS AKPAN</v>
          </cell>
          <cell r="D696" t="str">
            <v>Operations Manager</v>
          </cell>
          <cell r="E696" t="str">
            <v>Ensure average RMS sensors availability of 95% per month</v>
          </cell>
          <cell r="F696" t="str">
            <v>Ensure average RMS sensors availability of 95% per month</v>
          </cell>
          <cell r="G696">
            <v>0.15</v>
          </cell>
          <cell r="H696">
            <v>0.15</v>
          </cell>
          <cell r="I696">
            <v>0.95</v>
          </cell>
          <cell r="J696" t="str">
            <v>Ensure average RMS sensors availability of 95% per month</v>
          </cell>
          <cell r="K696" t="str">
            <v>Achieve Average  PA &gt; 99.5% for every month staring August 2025 (refer to 'PA Glide Path' below)</v>
          </cell>
          <cell r="L696" t="str">
            <v>FRANCIS ONWU INYA</v>
          </cell>
        </row>
        <row r="697">
          <cell r="A697">
            <v>61</v>
          </cell>
          <cell r="B697" t="str">
            <v>FD00011</v>
          </cell>
          <cell r="C697" t="str">
            <v>SUNDAY MATHIAS AKPAN</v>
          </cell>
          <cell r="D697" t="str">
            <v>Operations Manager</v>
          </cell>
          <cell r="E697" t="str">
            <v>MS Vendor SLA - Ensure 95% compliance on PPM and janitorial</v>
          </cell>
          <cell r="F697" t="str">
            <v>MS Vendor SLA - Ensure 95% compliance on PPM and janitorial</v>
          </cell>
          <cell r="G697">
            <v>0.15</v>
          </cell>
          <cell r="H697">
            <v>0.15</v>
          </cell>
          <cell r="J697" t="str">
            <v>MS Vendor SLA - Ensure 95% compliance on PPM and janitorial</v>
          </cell>
          <cell r="L697" t="str">
            <v>FRANCIS ONWU INYA</v>
          </cell>
        </row>
        <row r="698">
          <cell r="A698">
            <v>62</v>
          </cell>
          <cell r="B698" t="str">
            <v>FD00013</v>
          </cell>
          <cell r="C698" t="str">
            <v>IKENNA EKERE</v>
          </cell>
          <cell r="D698" t="str">
            <v>Operations Manager</v>
          </cell>
          <cell r="E698" t="str">
            <v>Ensure average fault per site of &lt; 2. 4 per month</v>
          </cell>
          <cell r="F698" t="str">
            <v>Ensure average fault per site of &lt; 2. 4 per month</v>
          </cell>
          <cell r="G698">
            <v>0.25</v>
          </cell>
          <cell r="H698">
            <v>0.25</v>
          </cell>
          <cell r="I698" t="str">
            <v>&lt;2.4</v>
          </cell>
          <cell r="J698" t="str">
            <v>Ensure average fault per site of &lt; 2. 4 per month</v>
          </cell>
          <cell r="K698" t="str">
            <v>Achieve Average  PA &gt; 99.5% for every month staring August 2025 (refer to 'PA Glide Path' below)</v>
          </cell>
          <cell r="L698" t="str">
            <v>EMMANUEL EZE</v>
          </cell>
        </row>
        <row r="699">
          <cell r="A699">
            <v>62</v>
          </cell>
          <cell r="B699" t="str">
            <v>FD00013</v>
          </cell>
          <cell r="C699" t="str">
            <v>IKENNA EKERE</v>
          </cell>
          <cell r="D699" t="str">
            <v>Operations Manager</v>
          </cell>
          <cell r="E699" t="str">
            <v>Ensure MTTR &lt;90minutes</v>
          </cell>
          <cell r="F699" t="str">
            <v>Ensure MTTR &lt;90minutes</v>
          </cell>
          <cell r="G699">
            <v>0.2</v>
          </cell>
          <cell r="H699">
            <v>0.2</v>
          </cell>
          <cell r="I699" t="str">
            <v>&lt;90min</v>
          </cell>
          <cell r="J699" t="str">
            <v>Ensure MTTR &lt;90minutes</v>
          </cell>
          <cell r="K699" t="str">
            <v>Achieve Average  PA &gt; 99.5% for every month staring August 2025 (refer to 'PA Glide Path' below)</v>
          </cell>
          <cell r="L699" t="str">
            <v>EMMANUEL EZE</v>
          </cell>
        </row>
        <row r="700">
          <cell r="A700">
            <v>62</v>
          </cell>
          <cell r="B700" t="str">
            <v>FD00013</v>
          </cell>
          <cell r="C700" t="str">
            <v>IKENNA EKERE</v>
          </cell>
          <cell r="D700" t="str">
            <v>Operations Manager</v>
          </cell>
          <cell r="E700" t="str">
            <v>65% and above sites meeting PA &gt; 99.5%</v>
          </cell>
          <cell r="F700" t="str">
            <v>65% and above sites meeting PA &gt; 99.5%</v>
          </cell>
          <cell r="G700">
            <v>0.25</v>
          </cell>
          <cell r="H700">
            <v>0.25</v>
          </cell>
          <cell r="I700">
            <v>0.65</v>
          </cell>
          <cell r="J700" t="str">
            <v>65% and above sites meeting PA &gt; 99.5%</v>
          </cell>
          <cell r="K700" t="str">
            <v>Achieve Average  PA &gt; 99.5% for every month staring August 2025 (refer to 'PA Glide Path' below)</v>
          </cell>
          <cell r="L700" t="str">
            <v>EMMANUEL EZE</v>
          </cell>
        </row>
        <row r="701">
          <cell r="A701">
            <v>62</v>
          </cell>
          <cell r="B701" t="str">
            <v>FD00013</v>
          </cell>
          <cell r="C701" t="str">
            <v>IKENNA EKERE</v>
          </cell>
          <cell r="D701" t="str">
            <v>Operations Manager</v>
          </cell>
          <cell r="E701" t="str">
            <v>Ensure average RMS sensors availability of 95% per month</v>
          </cell>
          <cell r="F701" t="str">
            <v>Ensure average RMS sensors availability of 95% per month</v>
          </cell>
          <cell r="G701">
            <v>0.15</v>
          </cell>
          <cell r="H701">
            <v>0.15</v>
          </cell>
          <cell r="I701">
            <v>0.95</v>
          </cell>
          <cell r="J701" t="str">
            <v>Ensure average RMS sensors availability of 95% per month</v>
          </cell>
          <cell r="K701" t="str">
            <v>Achieve Average  PA &gt; 99.5% for every month staring August 2025 (refer to 'PA Glide Path' below)</v>
          </cell>
          <cell r="L701" t="str">
            <v>EMMANUEL EZE</v>
          </cell>
        </row>
        <row r="702">
          <cell r="A702">
            <v>62</v>
          </cell>
          <cell r="B702" t="str">
            <v>FD00013</v>
          </cell>
          <cell r="C702" t="str">
            <v>IKENNA EKERE</v>
          </cell>
          <cell r="D702" t="str">
            <v>Operations Manager</v>
          </cell>
          <cell r="E702" t="str">
            <v>MS Vendor SLA - Ensure 95% compliance on PPM and janitorial</v>
          </cell>
          <cell r="F702" t="str">
            <v>MS Vendor SLA - Ensure 95% compliance on PPM and janitorial</v>
          </cell>
          <cell r="G702">
            <v>0.15</v>
          </cell>
          <cell r="H702">
            <v>0.15</v>
          </cell>
          <cell r="J702" t="str">
            <v>MS Vendor SLA - Ensure 95% compliance on PPM and janitorial</v>
          </cell>
          <cell r="L702" t="str">
            <v>EMMANUEL EZE</v>
          </cell>
        </row>
        <row r="703">
          <cell r="A703">
            <v>63</v>
          </cell>
          <cell r="B703" t="str">
            <v>FD00014</v>
          </cell>
          <cell r="C703" t="str">
            <v>KINGSLEY EZE</v>
          </cell>
          <cell r="D703" t="str">
            <v>Operations Manager</v>
          </cell>
          <cell r="E703" t="str">
            <v>Ensure average fault per site of &lt; 2. 4 per month</v>
          </cell>
          <cell r="F703" t="str">
            <v>Ensure average fault per site of &lt; 2. 4 per month</v>
          </cell>
          <cell r="G703">
            <v>0.25</v>
          </cell>
          <cell r="H703">
            <v>0.25</v>
          </cell>
          <cell r="I703" t="str">
            <v>&lt;2.4</v>
          </cell>
          <cell r="J703" t="str">
            <v>Ensure average fault per site of &lt; 2. 4 per month</v>
          </cell>
          <cell r="K703" t="str">
            <v>Achieve Average  PA &gt; 99.5% for every month staring August 2025 (refer to 'PA Glide Path' below)</v>
          </cell>
          <cell r="L703" t="str">
            <v>BARNABAS AKUHWA</v>
          </cell>
        </row>
        <row r="704">
          <cell r="A704">
            <v>63</v>
          </cell>
          <cell r="B704" t="str">
            <v>FD00014</v>
          </cell>
          <cell r="C704" t="str">
            <v>KINGSLEY EZE</v>
          </cell>
          <cell r="D704" t="str">
            <v>Operations Manager</v>
          </cell>
          <cell r="E704" t="str">
            <v>Ensure MTTR &lt;90minutes</v>
          </cell>
          <cell r="F704" t="str">
            <v>Ensure MTTR &lt;90minutes</v>
          </cell>
          <cell r="G704">
            <v>0.2</v>
          </cell>
          <cell r="H704">
            <v>0.2</v>
          </cell>
          <cell r="I704" t="str">
            <v>&lt;90min</v>
          </cell>
          <cell r="J704" t="str">
            <v>Ensure MTTR &lt;90minutes</v>
          </cell>
          <cell r="K704" t="str">
            <v>Achieve Average  PA &gt; 99.5% for every month staring August 2025 (refer to 'PA Glide Path' below)</v>
          </cell>
          <cell r="L704" t="str">
            <v>BARNABAS AKUHWA</v>
          </cell>
        </row>
        <row r="705">
          <cell r="A705">
            <v>63</v>
          </cell>
          <cell r="B705" t="str">
            <v>FD00014</v>
          </cell>
          <cell r="C705" t="str">
            <v>KINGSLEY EZE</v>
          </cell>
          <cell r="D705" t="str">
            <v>Operations Manager</v>
          </cell>
          <cell r="E705" t="str">
            <v>65% and above sites meeting PA &gt; 99.5%</v>
          </cell>
          <cell r="F705" t="str">
            <v>65% and above sites meeting PA &gt; 99.5%</v>
          </cell>
          <cell r="G705">
            <v>0.25</v>
          </cell>
          <cell r="H705">
            <v>0.25</v>
          </cell>
          <cell r="I705">
            <v>0.65</v>
          </cell>
          <cell r="J705" t="str">
            <v>65% and above sites meeting PA &gt; 99.5%</v>
          </cell>
          <cell r="K705" t="str">
            <v>Achieve Average  PA &gt; 99.5% for every month staring August 2025 (refer to 'PA Glide Path' below)</v>
          </cell>
          <cell r="L705" t="str">
            <v>BARNABAS AKUHWA</v>
          </cell>
        </row>
        <row r="706">
          <cell r="A706">
            <v>63</v>
          </cell>
          <cell r="B706" t="str">
            <v>FD00014</v>
          </cell>
          <cell r="C706" t="str">
            <v>KINGSLEY EZE</v>
          </cell>
          <cell r="D706" t="str">
            <v>Operations Manager</v>
          </cell>
          <cell r="E706" t="str">
            <v>Ensure average RMS sensors availability of 95% per month</v>
          </cell>
          <cell r="F706" t="str">
            <v>Ensure average RMS sensors availability of 95% per month</v>
          </cell>
          <cell r="G706">
            <v>0.15</v>
          </cell>
          <cell r="H706">
            <v>0.15</v>
          </cell>
          <cell r="I706">
            <v>0.95</v>
          </cell>
          <cell r="J706" t="str">
            <v>Ensure average RMS sensors availability of 95% per month</v>
          </cell>
          <cell r="K706" t="str">
            <v>Achieve Average  PA &gt; 99.5% for every month staring August 2025 (refer to 'PA Glide Path' below)</v>
          </cell>
          <cell r="L706" t="str">
            <v>BARNABAS AKUHWA</v>
          </cell>
        </row>
        <row r="707">
          <cell r="A707">
            <v>63</v>
          </cell>
          <cell r="B707" t="str">
            <v>FD00014</v>
          </cell>
          <cell r="C707" t="str">
            <v>KINGSLEY EZE</v>
          </cell>
          <cell r="D707" t="str">
            <v>Operations Manager</v>
          </cell>
          <cell r="E707" t="str">
            <v>MS Vendor SLA - Ensure 95% compliance on PPM and janitorial</v>
          </cell>
          <cell r="F707" t="str">
            <v>MS Vendor SLA - Ensure 95% compliance on PPM and janitorial</v>
          </cell>
          <cell r="G707">
            <v>0.15</v>
          </cell>
          <cell r="H707">
            <v>0.15</v>
          </cell>
          <cell r="J707" t="str">
            <v>MS Vendor SLA - Ensure 95% compliance on PPM and janitorial</v>
          </cell>
          <cell r="L707" t="str">
            <v>BARNABAS AKUHWA</v>
          </cell>
        </row>
        <row r="708">
          <cell r="A708">
            <v>64</v>
          </cell>
          <cell r="B708" t="str">
            <v>FD00015</v>
          </cell>
          <cell r="C708" t="str">
            <v>NKEM NJOKU</v>
          </cell>
          <cell r="D708" t="str">
            <v>Operations Manager</v>
          </cell>
          <cell r="E708" t="str">
            <v>Ensure average fault per site of &lt; 2. 4 per month</v>
          </cell>
          <cell r="F708" t="str">
            <v>Ensure average fault per site of &lt; 2. 4 per month</v>
          </cell>
          <cell r="G708">
            <v>0.25</v>
          </cell>
          <cell r="H708">
            <v>0.25</v>
          </cell>
          <cell r="I708" t="str">
            <v>&lt;2.4</v>
          </cell>
          <cell r="J708" t="str">
            <v>Ensure average fault per site of &lt; 2. 4 per month</v>
          </cell>
          <cell r="K708" t="str">
            <v>Achieve Average  PA &gt; 99.5% for every month staring August 2025 (refer to 'PA Glide Path' below)</v>
          </cell>
          <cell r="L708" t="str">
            <v>EMMANUEL EZE</v>
          </cell>
        </row>
        <row r="709">
          <cell r="A709">
            <v>64</v>
          </cell>
          <cell r="B709" t="str">
            <v>FD00015</v>
          </cell>
          <cell r="C709" t="str">
            <v>NKEM NJOKU</v>
          </cell>
          <cell r="D709" t="str">
            <v>Operations Manager</v>
          </cell>
          <cell r="E709" t="str">
            <v>Ensure MTTR &lt;90minutes</v>
          </cell>
          <cell r="F709" t="str">
            <v>Ensure MTTR &lt;90minutes</v>
          </cell>
          <cell r="G709">
            <v>0.2</v>
          </cell>
          <cell r="H709">
            <v>0.2</v>
          </cell>
          <cell r="I709" t="str">
            <v>&lt;90min</v>
          </cell>
          <cell r="J709" t="str">
            <v>Ensure MTTR &lt;90minutes</v>
          </cell>
          <cell r="K709" t="str">
            <v>Achieve Average  PA &gt; 99.5% for every month staring August 2025 (refer to 'PA Glide Path' below)</v>
          </cell>
          <cell r="L709" t="str">
            <v>EMMANUEL EZE</v>
          </cell>
        </row>
        <row r="710">
          <cell r="A710">
            <v>64</v>
          </cell>
          <cell r="B710" t="str">
            <v>FD00015</v>
          </cell>
          <cell r="C710" t="str">
            <v>NKEM NJOKU</v>
          </cell>
          <cell r="D710" t="str">
            <v>Operations Manager</v>
          </cell>
          <cell r="E710" t="str">
            <v>65% and above sites meeting PA &gt; 99.5%</v>
          </cell>
          <cell r="F710" t="str">
            <v>65% and above sites meeting PA &gt; 99.5%</v>
          </cell>
          <cell r="G710">
            <v>0.25</v>
          </cell>
          <cell r="H710">
            <v>0.25</v>
          </cell>
          <cell r="I710">
            <v>0.65</v>
          </cell>
          <cell r="J710" t="str">
            <v>65% and above sites meeting PA &gt; 99.5%</v>
          </cell>
          <cell r="K710" t="str">
            <v>Achieve Average  PA &gt; 99.5% for every month staring August 2025 (refer to 'PA Glide Path' below)</v>
          </cell>
          <cell r="L710" t="str">
            <v>EMMANUEL EZE</v>
          </cell>
        </row>
        <row r="711">
          <cell r="A711">
            <v>64</v>
          </cell>
          <cell r="B711" t="str">
            <v>FD00015</v>
          </cell>
          <cell r="C711" t="str">
            <v>NKEM NJOKU</v>
          </cell>
          <cell r="D711" t="str">
            <v>Operations Manager</v>
          </cell>
          <cell r="E711" t="str">
            <v>Ensure average RMS sensors availability of 95% per month</v>
          </cell>
          <cell r="F711" t="str">
            <v>Ensure average RMS sensors availability of 95% per month</v>
          </cell>
          <cell r="G711">
            <v>0.15</v>
          </cell>
          <cell r="H711">
            <v>0.15</v>
          </cell>
          <cell r="I711">
            <v>0.95</v>
          </cell>
          <cell r="J711" t="str">
            <v>Ensure average RMS sensors availability of 95% per month</v>
          </cell>
          <cell r="K711" t="str">
            <v>Achieve Average  PA &gt; 99.5% for every month staring August 2025 (refer to 'PA Glide Path' below)</v>
          </cell>
          <cell r="L711" t="str">
            <v>EMMANUEL EZE</v>
          </cell>
        </row>
        <row r="712">
          <cell r="A712">
            <v>64</v>
          </cell>
          <cell r="B712" t="str">
            <v>FD00015</v>
          </cell>
          <cell r="C712" t="str">
            <v>NKEM NJOKU</v>
          </cell>
          <cell r="D712" t="str">
            <v>Operations Manager</v>
          </cell>
          <cell r="E712" t="str">
            <v>MS Vendor SLA - Ensure 95% compliance on PPM and janitorial</v>
          </cell>
          <cell r="F712" t="str">
            <v>MS Vendor SLA - Ensure 95% compliance on PPM and janitorial</v>
          </cell>
          <cell r="G712">
            <v>0.15</v>
          </cell>
          <cell r="H712">
            <v>0.15</v>
          </cell>
          <cell r="J712" t="str">
            <v>MS Vendor SLA - Ensure 95% compliance on PPM and janitorial</v>
          </cell>
          <cell r="L712" t="str">
            <v>EMMANUEL EZE</v>
          </cell>
        </row>
        <row r="713">
          <cell r="A713">
            <v>65</v>
          </cell>
          <cell r="B713" t="str">
            <v>FD00016</v>
          </cell>
          <cell r="C713" t="str">
            <v>YEKINI KABIRU ALABI</v>
          </cell>
          <cell r="D713" t="str">
            <v>Operations Manager</v>
          </cell>
          <cell r="E713" t="str">
            <v>Ensure average fault per site of &lt; 2. 4 per month</v>
          </cell>
          <cell r="F713" t="str">
            <v>Ensure average fault per site of &lt; 2. 4 per month</v>
          </cell>
          <cell r="G713">
            <v>0.25</v>
          </cell>
          <cell r="H713">
            <v>0.25</v>
          </cell>
          <cell r="I713" t="str">
            <v>&lt;2.4</v>
          </cell>
          <cell r="J713" t="str">
            <v>Ensure average fault per site of &lt; 2. 4 per month</v>
          </cell>
          <cell r="K713" t="str">
            <v>Achieve Average  PA &gt; 99.5% for every month staring August 2025 (refer to 'PA Glide Path' below)</v>
          </cell>
          <cell r="L713" t="str">
            <v>NONSO CHIKANI</v>
          </cell>
        </row>
        <row r="714">
          <cell r="A714">
            <v>65</v>
          </cell>
          <cell r="B714" t="str">
            <v>FD00016</v>
          </cell>
          <cell r="C714" t="str">
            <v>YEKINI KABIRU ALABI</v>
          </cell>
          <cell r="D714" t="str">
            <v>Operations Manager</v>
          </cell>
          <cell r="E714" t="str">
            <v>Ensure MTTR &lt;90minutes</v>
          </cell>
          <cell r="F714" t="str">
            <v>Ensure MTTR &lt;90minutes</v>
          </cell>
          <cell r="G714">
            <v>0.2</v>
          </cell>
          <cell r="H714">
            <v>0.2</v>
          </cell>
          <cell r="I714" t="str">
            <v>&lt;90min</v>
          </cell>
          <cell r="J714" t="str">
            <v>Ensure MTTR &lt;90minutes</v>
          </cell>
          <cell r="K714" t="str">
            <v>Achieve Average  PA &gt; 99.5% for every month staring August 2025 (refer to 'PA Glide Path' below)</v>
          </cell>
          <cell r="L714" t="str">
            <v>NONSO CHIKANI</v>
          </cell>
        </row>
        <row r="715">
          <cell r="A715">
            <v>65</v>
          </cell>
          <cell r="B715" t="str">
            <v>FD00016</v>
          </cell>
          <cell r="C715" t="str">
            <v>YEKINI KABIRU ALABI</v>
          </cell>
          <cell r="D715" t="str">
            <v>Operations Manager</v>
          </cell>
          <cell r="E715" t="str">
            <v>65% and above sites meeting PA &gt; 99.5%</v>
          </cell>
          <cell r="F715" t="str">
            <v>65% and above sites meeting PA &gt; 99.5%</v>
          </cell>
          <cell r="G715">
            <v>0.25</v>
          </cell>
          <cell r="H715">
            <v>0.25</v>
          </cell>
          <cell r="I715">
            <v>0.65</v>
          </cell>
          <cell r="J715" t="str">
            <v>65% and above sites meeting PA &gt; 99.5%</v>
          </cell>
          <cell r="K715" t="str">
            <v>Achieve Average  PA &gt; 99.5% for every month staring August 2025 (refer to 'PA Glide Path' below)</v>
          </cell>
          <cell r="L715" t="str">
            <v>NONSO CHIKANI</v>
          </cell>
        </row>
        <row r="716">
          <cell r="A716">
            <v>65</v>
          </cell>
          <cell r="B716" t="str">
            <v>FD00016</v>
          </cell>
          <cell r="C716" t="str">
            <v>YEKINI KABIRU ALABI</v>
          </cell>
          <cell r="D716" t="str">
            <v>Operations Manager</v>
          </cell>
          <cell r="E716" t="str">
            <v>Ensure average RMS sensors availability of 95% per month</v>
          </cell>
          <cell r="F716" t="str">
            <v>Ensure average RMS sensors availability of 95% per month</v>
          </cell>
          <cell r="G716">
            <v>0.15</v>
          </cell>
          <cell r="H716">
            <v>0.15</v>
          </cell>
          <cell r="I716">
            <v>0.95</v>
          </cell>
          <cell r="J716" t="str">
            <v>Ensure average RMS sensors availability of 95% per month</v>
          </cell>
          <cell r="K716" t="str">
            <v>Achieve Average  PA &gt; 99.5% for every month staring August 2025 (refer to 'PA Glide Path' below)</v>
          </cell>
          <cell r="L716" t="str">
            <v>NONSO CHIKANI</v>
          </cell>
        </row>
        <row r="717">
          <cell r="A717">
            <v>65</v>
          </cell>
          <cell r="B717" t="str">
            <v>FD00016</v>
          </cell>
          <cell r="C717" t="str">
            <v>YEKINI KABIRU ALABI</v>
          </cell>
          <cell r="D717" t="str">
            <v>Operations Manager</v>
          </cell>
          <cell r="E717" t="str">
            <v>MS Vendor SLA - Ensure 95% compliance on PPM and janitorial</v>
          </cell>
          <cell r="F717" t="str">
            <v>MS Vendor SLA - Ensure 95% compliance on PPM and janitorial</v>
          </cell>
          <cell r="G717">
            <v>0.15</v>
          </cell>
          <cell r="H717">
            <v>0.15</v>
          </cell>
          <cell r="J717" t="str">
            <v>MS Vendor SLA - Ensure 95% compliance on PPM and janitorial</v>
          </cell>
          <cell r="L717" t="str">
            <v>NONSO CHIKANI</v>
          </cell>
        </row>
        <row r="718">
          <cell r="A718">
            <v>66</v>
          </cell>
          <cell r="B718" t="str">
            <v>FD00017</v>
          </cell>
          <cell r="C718" t="str">
            <v>ADENIJI OLUWASEGUN TUNDE</v>
          </cell>
          <cell r="D718" t="str">
            <v>Operations Manager</v>
          </cell>
          <cell r="E718" t="str">
            <v>Ensure average fault per site of &lt; 2. 4 per month</v>
          </cell>
          <cell r="F718" t="str">
            <v>Ensure average fault per site of &lt; 2. 4 per month</v>
          </cell>
          <cell r="G718">
            <v>0.25</v>
          </cell>
          <cell r="H718">
            <v>0.25</v>
          </cell>
          <cell r="I718" t="str">
            <v>&lt;2.4</v>
          </cell>
          <cell r="J718" t="str">
            <v>Ensure average fault per site of &lt; 2. 4 per month</v>
          </cell>
          <cell r="K718" t="str">
            <v>Achieve Average  PA &gt; 99.5% for every month staring August 2025 (refer to 'PA Glide Path' below)</v>
          </cell>
          <cell r="L718" t="str">
            <v xml:space="preserve">ODUNLAMI GABRIEL OLUSEYI </v>
          </cell>
        </row>
        <row r="719">
          <cell r="A719">
            <v>66</v>
          </cell>
          <cell r="B719" t="str">
            <v>FD00017</v>
          </cell>
          <cell r="C719" t="str">
            <v>ADENIJI OLUWASEGUN TUNDE</v>
          </cell>
          <cell r="D719" t="str">
            <v>Operations Manager</v>
          </cell>
          <cell r="E719" t="str">
            <v>Ensure MTTR &lt;90minutes</v>
          </cell>
          <cell r="F719" t="str">
            <v>Ensure MTTR &lt;90minutes</v>
          </cell>
          <cell r="G719">
            <v>0.2</v>
          </cell>
          <cell r="H719">
            <v>0.2</v>
          </cell>
          <cell r="I719" t="str">
            <v>&lt;90min</v>
          </cell>
          <cell r="J719" t="str">
            <v>Ensure MTTR &lt;90minutes</v>
          </cell>
          <cell r="K719" t="str">
            <v>Achieve Average  PA &gt; 99.5% for every month staring August 2025 (refer to 'PA Glide Path' below)</v>
          </cell>
          <cell r="L719" t="str">
            <v xml:space="preserve">ODUNLAMI GABRIEL OLUSEYI </v>
          </cell>
        </row>
        <row r="720">
          <cell r="A720">
            <v>66</v>
          </cell>
          <cell r="B720" t="str">
            <v>FD00017</v>
          </cell>
          <cell r="C720" t="str">
            <v>ADENIJI OLUWASEGUN TUNDE</v>
          </cell>
          <cell r="D720" t="str">
            <v>Operations Manager</v>
          </cell>
          <cell r="E720" t="str">
            <v>65% and above sites meeting PA &gt; 99.5%</v>
          </cell>
          <cell r="F720" t="str">
            <v>65% and above sites meeting PA &gt; 99.5%</v>
          </cell>
          <cell r="G720">
            <v>0.25</v>
          </cell>
          <cell r="H720">
            <v>0.25</v>
          </cell>
          <cell r="I720">
            <v>0.65</v>
          </cell>
          <cell r="J720" t="str">
            <v>65% and above sites meeting PA &gt; 99.5%</v>
          </cell>
          <cell r="K720" t="str">
            <v>Achieve Average  PA &gt; 99.5% for every month staring August 2025 (refer to 'PA Glide Path' below)</v>
          </cell>
          <cell r="L720" t="str">
            <v xml:space="preserve">ODUNLAMI GABRIEL OLUSEYI </v>
          </cell>
        </row>
        <row r="721">
          <cell r="A721">
            <v>66</v>
          </cell>
          <cell r="B721" t="str">
            <v>FD00017</v>
          </cell>
          <cell r="C721" t="str">
            <v>ADENIJI OLUWASEGUN TUNDE</v>
          </cell>
          <cell r="D721" t="str">
            <v>Operations Manager</v>
          </cell>
          <cell r="E721" t="str">
            <v>Ensure average RMS sensors availability of 95% per month</v>
          </cell>
          <cell r="F721" t="str">
            <v>Ensure average RMS sensors availability of 95% per month</v>
          </cell>
          <cell r="G721">
            <v>0.15</v>
          </cell>
          <cell r="H721">
            <v>0.15</v>
          </cell>
          <cell r="I721">
            <v>0.95</v>
          </cell>
          <cell r="J721" t="str">
            <v>Ensure average RMS sensors availability of 95% per month</v>
          </cell>
          <cell r="K721" t="str">
            <v>Achieve Average  PA &gt; 99.5% for every month staring August 2025 (refer to 'PA Glide Path' below)</v>
          </cell>
          <cell r="L721" t="str">
            <v xml:space="preserve">ODUNLAMI GABRIEL OLUSEYI </v>
          </cell>
        </row>
        <row r="722">
          <cell r="A722">
            <v>66</v>
          </cell>
          <cell r="B722" t="str">
            <v>FD00017</v>
          </cell>
          <cell r="C722" t="str">
            <v>ADENIJI OLUWASEGUN TUNDE</v>
          </cell>
          <cell r="D722" t="str">
            <v>Operations Manager</v>
          </cell>
          <cell r="E722" t="str">
            <v>MS Vendor SLA - Ensure 95% compliance on PPM and janitorial</v>
          </cell>
          <cell r="F722" t="str">
            <v>MS Vendor SLA - Ensure 95% compliance on PPM and janitorial</v>
          </cell>
          <cell r="G722">
            <v>0.15</v>
          </cell>
          <cell r="H722">
            <v>0.15</v>
          </cell>
          <cell r="J722" t="str">
            <v>MS Vendor SLA - Ensure 95% compliance on PPM and janitorial</v>
          </cell>
          <cell r="L722" t="str">
            <v xml:space="preserve">ODUNLAMI GABRIEL OLUSEYI </v>
          </cell>
        </row>
        <row r="723">
          <cell r="A723">
            <v>67</v>
          </cell>
          <cell r="B723" t="str">
            <v>FD00020</v>
          </cell>
          <cell r="C723" t="str">
            <v>DANIEL ABERARE</v>
          </cell>
          <cell r="D723" t="str">
            <v>Operations Manager</v>
          </cell>
          <cell r="E723" t="str">
            <v>Ensure average fault per site of &lt; 2. 4 per month</v>
          </cell>
          <cell r="F723" t="str">
            <v>Ensure average fault per site of &lt; 2. 4 per month</v>
          </cell>
          <cell r="G723">
            <v>0.25</v>
          </cell>
          <cell r="H723">
            <v>0.25</v>
          </cell>
          <cell r="I723" t="str">
            <v>&lt;2.4</v>
          </cell>
          <cell r="J723" t="str">
            <v>Ensure average fault per site of &lt; 2. 4 per month</v>
          </cell>
          <cell r="K723" t="str">
            <v>Achieve Average  PA &gt; 99.5% for every month staring August 2025 (refer to 'PA Glide Path' below)</v>
          </cell>
          <cell r="L723" t="str">
            <v>EMMANUEL-OLADIMEJI OLAYINKA</v>
          </cell>
        </row>
        <row r="724">
          <cell r="A724">
            <v>67</v>
          </cell>
          <cell r="B724" t="str">
            <v>FD00020</v>
          </cell>
          <cell r="C724" t="str">
            <v>DANIEL ABERARE</v>
          </cell>
          <cell r="D724" t="str">
            <v>Operations Manager</v>
          </cell>
          <cell r="E724" t="str">
            <v>Ensure MTTR &lt;90minutes</v>
          </cell>
          <cell r="F724" t="str">
            <v>Ensure MTTR &lt;90minutes</v>
          </cell>
          <cell r="G724">
            <v>0.2</v>
          </cell>
          <cell r="H724">
            <v>0.2</v>
          </cell>
          <cell r="I724" t="str">
            <v>&lt;90min</v>
          </cell>
          <cell r="J724" t="str">
            <v>Ensure MTTR &lt;90minutes</v>
          </cell>
          <cell r="K724" t="str">
            <v>Achieve Average  PA &gt; 99.5% for every month staring August 2025 (refer to 'PA Glide Path' below)</v>
          </cell>
          <cell r="L724" t="str">
            <v>EMMANUEL-OLADIMEJI OLAYINKA</v>
          </cell>
        </row>
        <row r="725">
          <cell r="A725">
            <v>67</v>
          </cell>
          <cell r="B725" t="str">
            <v>FD00020</v>
          </cell>
          <cell r="C725" t="str">
            <v>DANIEL ABERARE</v>
          </cell>
          <cell r="D725" t="str">
            <v>Operations Manager</v>
          </cell>
          <cell r="E725" t="str">
            <v>65% and above sites meeting PA &gt; 99.5%</v>
          </cell>
          <cell r="F725" t="str">
            <v>65% and above sites meeting PA &gt; 99.5%</v>
          </cell>
          <cell r="G725">
            <v>0.25</v>
          </cell>
          <cell r="H725">
            <v>0.25</v>
          </cell>
          <cell r="I725">
            <v>0.65</v>
          </cell>
          <cell r="J725" t="str">
            <v>65% and above sites meeting PA &gt; 99.5%</v>
          </cell>
          <cell r="K725" t="str">
            <v>Achieve Average  PA &gt; 99.5% for every month staring August 2025 (refer to 'PA Glide Path' below)</v>
          </cell>
          <cell r="L725" t="str">
            <v>EMMANUEL-OLADIMEJI OLAYINKA</v>
          </cell>
        </row>
        <row r="726">
          <cell r="A726">
            <v>67</v>
          </cell>
          <cell r="B726" t="str">
            <v>FD00020</v>
          </cell>
          <cell r="C726" t="str">
            <v>DANIEL ABERARE</v>
          </cell>
          <cell r="D726" t="str">
            <v>Operations Manager</v>
          </cell>
          <cell r="E726" t="str">
            <v>Ensure average RMS sensors availability of 95% per month</v>
          </cell>
          <cell r="F726" t="str">
            <v>Ensure average RMS sensors availability of 95% per month</v>
          </cell>
          <cell r="G726">
            <v>0.15</v>
          </cell>
          <cell r="H726">
            <v>0.15</v>
          </cell>
          <cell r="I726">
            <v>0.95</v>
          </cell>
          <cell r="J726" t="str">
            <v>Ensure average RMS sensors availability of 95% per month</v>
          </cell>
          <cell r="K726" t="str">
            <v>Achieve Average  PA &gt; 99.5% for every month staring August 2025 (refer to 'PA Glide Path' below)</v>
          </cell>
          <cell r="L726" t="str">
            <v>EMMANUEL-OLADIMEJI OLAYINKA</v>
          </cell>
        </row>
        <row r="727">
          <cell r="A727">
            <v>67</v>
          </cell>
          <cell r="B727" t="str">
            <v>FD00020</v>
          </cell>
          <cell r="C727" t="str">
            <v>DANIEL ABERARE</v>
          </cell>
          <cell r="D727" t="str">
            <v>Operations Manager</v>
          </cell>
          <cell r="E727" t="str">
            <v>MS Vendor SLA - Ensure 95% compliance on PPM and janitorial</v>
          </cell>
          <cell r="F727" t="str">
            <v>MS Vendor SLA - Ensure 95% compliance on PPM and janitorial</v>
          </cell>
          <cell r="G727">
            <v>0.15</v>
          </cell>
          <cell r="H727">
            <v>0.15</v>
          </cell>
          <cell r="J727" t="str">
            <v>MS Vendor SLA - Ensure 95% compliance on PPM and janitorial</v>
          </cell>
          <cell r="L727" t="str">
            <v>EMMANUEL-OLADIMEJI OLAYINKA</v>
          </cell>
        </row>
        <row r="728">
          <cell r="A728">
            <v>68</v>
          </cell>
          <cell r="B728" t="str">
            <v>FD00021</v>
          </cell>
          <cell r="C728" t="str">
            <v>EMMANUEL EKPENYONG</v>
          </cell>
          <cell r="D728" t="str">
            <v>Operations Manager</v>
          </cell>
          <cell r="E728" t="str">
            <v>Ensure average fault per site of &lt; 2. 4 per month</v>
          </cell>
          <cell r="F728" t="str">
            <v>Ensure average fault per site of &lt; 2. 4 per month</v>
          </cell>
          <cell r="G728">
            <v>0.25</v>
          </cell>
          <cell r="H728">
            <v>0.25</v>
          </cell>
          <cell r="I728" t="str">
            <v>&lt;2.4</v>
          </cell>
          <cell r="J728" t="str">
            <v>Ensure average fault per site of &lt; 2. 4 per month</v>
          </cell>
          <cell r="K728" t="str">
            <v>Achieve Average  PA &gt; 99.5% for every month staring August 2025 (refer to 'PA Glide Path' below)</v>
          </cell>
          <cell r="L728" t="str">
            <v>EMMANUEL-OLADIMEJI OLAYINKA</v>
          </cell>
        </row>
        <row r="729">
          <cell r="A729">
            <v>68</v>
          </cell>
          <cell r="B729" t="str">
            <v>FD00021</v>
          </cell>
          <cell r="C729" t="str">
            <v>EMMANUEL EKPENYONG</v>
          </cell>
          <cell r="D729" t="str">
            <v>Operations Manager</v>
          </cell>
          <cell r="E729" t="str">
            <v>Ensure MTTR &lt;90minutes</v>
          </cell>
          <cell r="F729" t="str">
            <v>Ensure MTTR &lt;90minutes</v>
          </cell>
          <cell r="G729">
            <v>0.2</v>
          </cell>
          <cell r="H729">
            <v>0.2</v>
          </cell>
          <cell r="I729" t="str">
            <v>&lt;90min</v>
          </cell>
          <cell r="J729" t="str">
            <v>Ensure MTTR &lt;90minutes</v>
          </cell>
          <cell r="K729" t="str">
            <v>Achieve Average  PA &gt; 99.5% for every month staring August 2025 (refer to 'PA Glide Path' below)</v>
          </cell>
          <cell r="L729" t="str">
            <v>EMMANUEL-OLADIMEJI OLAYINKA</v>
          </cell>
        </row>
        <row r="730">
          <cell r="A730">
            <v>68</v>
          </cell>
          <cell r="B730" t="str">
            <v>FD00021</v>
          </cell>
          <cell r="C730" t="str">
            <v>EMMANUEL EKPENYONG</v>
          </cell>
          <cell r="D730" t="str">
            <v>Operations Manager</v>
          </cell>
          <cell r="E730" t="str">
            <v>65% and above sites meeting PA &gt; 99.5%</v>
          </cell>
          <cell r="F730" t="str">
            <v>65% and above sites meeting PA &gt; 99.5%</v>
          </cell>
          <cell r="G730">
            <v>0.25</v>
          </cell>
          <cell r="H730">
            <v>0.25</v>
          </cell>
          <cell r="I730">
            <v>0.65</v>
          </cell>
          <cell r="J730" t="str">
            <v>65% and above sites meeting PA &gt; 99.5%</v>
          </cell>
          <cell r="K730" t="str">
            <v>Achieve Average  PA &gt; 99.5% for every month staring August 2025 (refer to 'PA Glide Path' below)</v>
          </cell>
          <cell r="L730" t="str">
            <v>EMMANUEL-OLADIMEJI OLAYINKA</v>
          </cell>
        </row>
        <row r="731">
          <cell r="A731">
            <v>68</v>
          </cell>
          <cell r="B731" t="str">
            <v>FD00021</v>
          </cell>
          <cell r="C731" t="str">
            <v>EMMANUEL EKPENYONG</v>
          </cell>
          <cell r="D731" t="str">
            <v>Operations Manager</v>
          </cell>
          <cell r="E731" t="str">
            <v>Ensure average RMS sensors availability of 95% per month</v>
          </cell>
          <cell r="F731" t="str">
            <v>Ensure average RMS sensors availability of 95% per month</v>
          </cell>
          <cell r="G731">
            <v>0.15</v>
          </cell>
          <cell r="H731">
            <v>0.15</v>
          </cell>
          <cell r="I731">
            <v>0.95</v>
          </cell>
          <cell r="J731" t="str">
            <v>Ensure average RMS sensors availability of 95% per month</v>
          </cell>
          <cell r="K731" t="str">
            <v>Achieve Average  PA &gt; 99.5% for every month staring August 2025 (refer to 'PA Glide Path' below)</v>
          </cell>
          <cell r="L731" t="str">
            <v>EMMANUEL-OLADIMEJI OLAYINKA</v>
          </cell>
        </row>
        <row r="732">
          <cell r="A732">
            <v>68</v>
          </cell>
          <cell r="B732" t="str">
            <v>FD00021</v>
          </cell>
          <cell r="C732" t="str">
            <v>EMMANUEL EKPENYONG</v>
          </cell>
          <cell r="D732" t="str">
            <v>Operations Manager</v>
          </cell>
          <cell r="E732" t="str">
            <v>MS Vendor SLA - Ensure 95% compliance on PPM and janitorial</v>
          </cell>
          <cell r="F732" t="str">
            <v>MS Vendor SLA - Ensure 95% compliance on PPM and janitorial</v>
          </cell>
          <cell r="G732">
            <v>0.15</v>
          </cell>
          <cell r="H732">
            <v>0.15</v>
          </cell>
          <cell r="J732" t="str">
            <v>MS Vendor SLA - Ensure 95% compliance on PPM and janitorial</v>
          </cell>
          <cell r="L732" t="str">
            <v>EMMANUEL-OLADIMEJI OLAYINKA</v>
          </cell>
        </row>
        <row r="733">
          <cell r="A733">
            <v>69</v>
          </cell>
          <cell r="B733" t="str">
            <v>FD00022</v>
          </cell>
          <cell r="C733" t="str">
            <v>FRED UGBAJE</v>
          </cell>
          <cell r="D733" t="str">
            <v>Operations Manager</v>
          </cell>
          <cell r="E733" t="str">
            <v>Ensure average fault per site of &lt; 2. 4 per month</v>
          </cell>
          <cell r="F733" t="str">
            <v>Ensure average fault per site of &lt; 2. 4 per month</v>
          </cell>
          <cell r="G733">
            <v>0.25</v>
          </cell>
          <cell r="H733">
            <v>0.25</v>
          </cell>
          <cell r="I733" t="str">
            <v>&lt;2.4</v>
          </cell>
          <cell r="J733" t="str">
            <v>Ensure average fault per site of &lt; 2. 4 per month</v>
          </cell>
          <cell r="K733" t="str">
            <v>Achieve Average  PA &gt; 99.5% for every month staring August 2025 (refer to 'PA Glide Path' below)</v>
          </cell>
          <cell r="L733" t="str">
            <v>BARNABAS AKUHWA</v>
          </cell>
        </row>
        <row r="734">
          <cell r="A734">
            <v>69</v>
          </cell>
          <cell r="B734" t="str">
            <v>FD00022</v>
          </cell>
          <cell r="C734" t="str">
            <v>FRED UGBAJE</v>
          </cell>
          <cell r="D734" t="str">
            <v>Operations Manager</v>
          </cell>
          <cell r="E734" t="str">
            <v>Ensure MTTR &lt;90minutes</v>
          </cell>
          <cell r="F734" t="str">
            <v>Ensure MTTR &lt;90minutes</v>
          </cell>
          <cell r="G734">
            <v>0.2</v>
          </cell>
          <cell r="H734">
            <v>0.2</v>
          </cell>
          <cell r="I734" t="str">
            <v>&lt;90min</v>
          </cell>
          <cell r="J734" t="str">
            <v>Ensure MTTR &lt;90minutes</v>
          </cell>
          <cell r="K734" t="str">
            <v>Achieve Average  PA &gt; 99.5% for every month staring August 2025 (refer to 'PA Glide Path' below)</v>
          </cell>
          <cell r="L734" t="str">
            <v>BARNABAS AKUHWA</v>
          </cell>
        </row>
        <row r="735">
          <cell r="A735">
            <v>69</v>
          </cell>
          <cell r="B735" t="str">
            <v>FD00022</v>
          </cell>
          <cell r="C735" t="str">
            <v>FRED UGBAJE</v>
          </cell>
          <cell r="D735" t="str">
            <v>Operations Manager</v>
          </cell>
          <cell r="E735" t="str">
            <v>65% and above sites meeting PA &gt; 99.5%</v>
          </cell>
          <cell r="F735" t="str">
            <v>65% and above sites meeting PA &gt; 99.5%</v>
          </cell>
          <cell r="G735">
            <v>0.25</v>
          </cell>
          <cell r="H735">
            <v>0.25</v>
          </cell>
          <cell r="I735">
            <v>0.65</v>
          </cell>
          <cell r="J735" t="str">
            <v>65% and above sites meeting PA &gt; 99.5%</v>
          </cell>
          <cell r="K735" t="str">
            <v>Achieve Average  PA &gt; 99.5% for every month staring August 2025 (refer to 'PA Glide Path' below)</v>
          </cell>
          <cell r="L735" t="str">
            <v>BARNABAS AKUHWA</v>
          </cell>
        </row>
        <row r="736">
          <cell r="A736">
            <v>69</v>
          </cell>
          <cell r="B736" t="str">
            <v>FD00022</v>
          </cell>
          <cell r="C736" t="str">
            <v>FRED UGBAJE</v>
          </cell>
          <cell r="D736" t="str">
            <v>Operations Manager</v>
          </cell>
          <cell r="E736" t="str">
            <v>Ensure average RMS sensors availability of 95% per month</v>
          </cell>
          <cell r="F736" t="str">
            <v>Ensure average RMS sensors availability of 95% per month</v>
          </cell>
          <cell r="G736">
            <v>0.15</v>
          </cell>
          <cell r="H736">
            <v>0.15</v>
          </cell>
          <cell r="I736">
            <v>0.95</v>
          </cell>
          <cell r="J736" t="str">
            <v>Ensure average RMS sensors availability of 95% per month</v>
          </cell>
          <cell r="K736" t="str">
            <v>Achieve Average  PA &gt; 99.5% for every month staring August 2025 (refer to 'PA Glide Path' below)</v>
          </cell>
          <cell r="L736" t="str">
            <v>BARNABAS AKUHWA</v>
          </cell>
        </row>
        <row r="737">
          <cell r="A737">
            <v>69</v>
          </cell>
          <cell r="B737" t="str">
            <v>FD00022</v>
          </cell>
          <cell r="C737" t="str">
            <v>FRED UGBAJE</v>
          </cell>
          <cell r="D737" t="str">
            <v>Operations Manager</v>
          </cell>
          <cell r="E737" t="str">
            <v>MS Vendor SLA - Ensure 95% compliance on PPM and janitorial</v>
          </cell>
          <cell r="F737" t="str">
            <v>MS Vendor SLA - Ensure 95% compliance on PPM and janitorial</v>
          </cell>
          <cell r="G737">
            <v>0.15</v>
          </cell>
          <cell r="H737">
            <v>0.15</v>
          </cell>
          <cell r="J737" t="str">
            <v>MS Vendor SLA - Ensure 95% compliance on PPM and janitorial</v>
          </cell>
          <cell r="L737" t="str">
            <v>BARNABAS AKUHWA</v>
          </cell>
        </row>
        <row r="738">
          <cell r="A738">
            <v>70</v>
          </cell>
          <cell r="B738" t="str">
            <v>FD00023</v>
          </cell>
          <cell r="C738" t="str">
            <v>ANTHONY OMORODION</v>
          </cell>
          <cell r="D738" t="str">
            <v>Operations Manager</v>
          </cell>
          <cell r="E738" t="str">
            <v>Ensure average fault per site of &lt; 2. 4 per month</v>
          </cell>
          <cell r="F738" t="str">
            <v>Ensure average fault per site of &lt; 2. 4 per month</v>
          </cell>
          <cell r="G738">
            <v>0.25</v>
          </cell>
          <cell r="H738">
            <v>0.25</v>
          </cell>
          <cell r="I738" t="str">
            <v>&lt;2.4</v>
          </cell>
          <cell r="J738" t="str">
            <v>Ensure average fault per site of &lt; 2. 4 per month</v>
          </cell>
          <cell r="K738" t="str">
            <v>Achieve Average  PA &gt; 99.5% for every month staring August 2025 (refer to 'PA Glide Path' below)</v>
          </cell>
          <cell r="L738" t="str">
            <v>NONSO CHIKANI</v>
          </cell>
        </row>
        <row r="739">
          <cell r="A739">
            <v>70</v>
          </cell>
          <cell r="B739" t="str">
            <v>FD00023</v>
          </cell>
          <cell r="C739" t="str">
            <v>ANTHONY OMORODION</v>
          </cell>
          <cell r="D739" t="str">
            <v>Operations Manager</v>
          </cell>
          <cell r="E739" t="str">
            <v>Ensure MTTR &lt;90minutes</v>
          </cell>
          <cell r="F739" t="str">
            <v>Ensure MTTR &lt;90minutes</v>
          </cell>
          <cell r="G739">
            <v>0.2</v>
          </cell>
          <cell r="H739">
            <v>0.2</v>
          </cell>
          <cell r="I739" t="str">
            <v>&lt;90min</v>
          </cell>
          <cell r="J739" t="str">
            <v>Ensure MTTR &lt;90minutes</v>
          </cell>
          <cell r="K739" t="str">
            <v>Achieve Average  PA &gt; 99.5% for every month staring August 2025 (refer to 'PA Glide Path' below)</v>
          </cell>
          <cell r="L739" t="str">
            <v>NONSO CHIKANI</v>
          </cell>
        </row>
        <row r="740">
          <cell r="A740">
            <v>70</v>
          </cell>
          <cell r="B740" t="str">
            <v>FD00023</v>
          </cell>
          <cell r="C740" t="str">
            <v>ANTHONY OMORODION</v>
          </cell>
          <cell r="D740" t="str">
            <v>Operations Manager</v>
          </cell>
          <cell r="E740" t="str">
            <v>65% and above sites meeting PA &gt; 99.5%</v>
          </cell>
          <cell r="F740" t="str">
            <v>65% and above sites meeting PA &gt; 99.5%</v>
          </cell>
          <cell r="G740">
            <v>0.25</v>
          </cell>
          <cell r="H740">
            <v>0.25</v>
          </cell>
          <cell r="I740">
            <v>0.65</v>
          </cell>
          <cell r="J740" t="str">
            <v>65% and above sites meeting PA &gt; 99.5%</v>
          </cell>
          <cell r="K740" t="str">
            <v>Achieve Average  PA &gt; 99.5% for every month staring August 2025 (refer to 'PA Glide Path' below)</v>
          </cell>
          <cell r="L740" t="str">
            <v>NONSO CHIKANI</v>
          </cell>
        </row>
        <row r="741">
          <cell r="A741">
            <v>70</v>
          </cell>
          <cell r="B741" t="str">
            <v>FD00023</v>
          </cell>
          <cell r="C741" t="str">
            <v>ANTHONY OMORODION</v>
          </cell>
          <cell r="D741" t="str">
            <v>Operations Manager</v>
          </cell>
          <cell r="E741" t="str">
            <v>Ensure average RMS sensors availability of 95% per month</v>
          </cell>
          <cell r="F741" t="str">
            <v>Ensure average RMS sensors availability of 95% per month</v>
          </cell>
          <cell r="G741">
            <v>0.15</v>
          </cell>
          <cell r="H741">
            <v>0.15</v>
          </cell>
          <cell r="I741">
            <v>0.95</v>
          </cell>
          <cell r="J741" t="str">
            <v>Ensure average RMS sensors availability of 95% per month</v>
          </cell>
          <cell r="K741" t="str">
            <v>Achieve Average  PA &gt; 99.5% for every month staring August 2025 (refer to 'PA Glide Path' below)</v>
          </cell>
          <cell r="L741" t="str">
            <v>NONSO CHIKANI</v>
          </cell>
        </row>
        <row r="742">
          <cell r="A742">
            <v>70</v>
          </cell>
          <cell r="B742" t="str">
            <v>FD00023</v>
          </cell>
          <cell r="C742" t="str">
            <v>ANTHONY OMORODION</v>
          </cell>
          <cell r="D742" t="str">
            <v>Operations Manager</v>
          </cell>
          <cell r="E742" t="str">
            <v>MS Vendor SLA - Ensure 95% compliance on PPM and janitorial</v>
          </cell>
          <cell r="F742" t="str">
            <v>MS Vendor SLA - Ensure 95% compliance on PPM and janitorial</v>
          </cell>
          <cell r="G742">
            <v>0.15</v>
          </cell>
          <cell r="H742">
            <v>0.15</v>
          </cell>
          <cell r="J742" t="str">
            <v>MS Vendor SLA - Ensure 95% compliance on PPM and janitorial</v>
          </cell>
          <cell r="L742" t="str">
            <v>NONSO CHIKANI</v>
          </cell>
        </row>
        <row r="743">
          <cell r="A743">
            <v>71</v>
          </cell>
          <cell r="B743" t="str">
            <v>FD00027</v>
          </cell>
          <cell r="C743" t="str">
            <v>ABUMENRE LAWRENCE ORELE</v>
          </cell>
          <cell r="D743" t="str">
            <v>Operations Manager</v>
          </cell>
          <cell r="E743" t="str">
            <v>Ensure average fault per site of &lt; 2. 4 per month</v>
          </cell>
          <cell r="F743" t="str">
            <v>Ensure average fault per site of &lt; 2. 4 per month</v>
          </cell>
          <cell r="G743">
            <v>0.25</v>
          </cell>
          <cell r="H743">
            <v>0.25</v>
          </cell>
          <cell r="I743" t="str">
            <v>&lt;2.4</v>
          </cell>
          <cell r="J743" t="str">
            <v>Ensure average fault per site of &lt; 2. 4 per month</v>
          </cell>
          <cell r="K743" t="str">
            <v>Achieve Average  PA &gt; 99.5% for every month staring August 2025 (refer to 'PA Glide Path' below)</v>
          </cell>
          <cell r="L743" t="str">
            <v xml:space="preserve">ODUNLAMI GABRIEL OLUSEYI </v>
          </cell>
        </row>
        <row r="744">
          <cell r="A744">
            <v>71</v>
          </cell>
          <cell r="B744" t="str">
            <v>FD00027</v>
          </cell>
          <cell r="C744" t="str">
            <v>ABUMENRE LAWRENCE ORELE</v>
          </cell>
          <cell r="D744" t="str">
            <v>Operations Manager</v>
          </cell>
          <cell r="E744" t="str">
            <v>Ensure MTTR &lt;90minutes</v>
          </cell>
          <cell r="F744" t="str">
            <v>Ensure MTTR &lt;90minutes</v>
          </cell>
          <cell r="G744">
            <v>0.2</v>
          </cell>
          <cell r="H744">
            <v>0.2</v>
          </cell>
          <cell r="I744" t="str">
            <v>&lt;90min</v>
          </cell>
          <cell r="J744" t="str">
            <v>Ensure MTTR &lt;90minutes</v>
          </cell>
          <cell r="K744" t="str">
            <v>Achieve Average  PA &gt; 99.5% for every month staring August 2025 (refer to 'PA Glide Path' below)</v>
          </cell>
          <cell r="L744" t="str">
            <v xml:space="preserve">ODUNLAMI GABRIEL OLUSEYI </v>
          </cell>
        </row>
        <row r="745">
          <cell r="A745">
            <v>71</v>
          </cell>
          <cell r="B745" t="str">
            <v>FD00027</v>
          </cell>
          <cell r="C745" t="str">
            <v>ABUMENRE LAWRENCE ORELE</v>
          </cell>
          <cell r="D745" t="str">
            <v>Operations Manager</v>
          </cell>
          <cell r="E745" t="str">
            <v>65% and above sites meeting PA &gt; 99.5%</v>
          </cell>
          <cell r="F745" t="str">
            <v>65% and above sites meeting PA &gt; 99.5%</v>
          </cell>
          <cell r="G745">
            <v>0.25</v>
          </cell>
          <cell r="H745">
            <v>0.25</v>
          </cell>
          <cell r="I745">
            <v>0.65</v>
          </cell>
          <cell r="J745" t="str">
            <v>65% and above sites meeting PA &gt; 99.5%</v>
          </cell>
          <cell r="K745" t="str">
            <v>Achieve Average  PA &gt; 99.5% for every month staring August 2025 (refer to 'PA Glide Path' below)</v>
          </cell>
          <cell r="L745" t="str">
            <v xml:space="preserve">ODUNLAMI GABRIEL OLUSEYI </v>
          </cell>
        </row>
        <row r="746">
          <cell r="A746">
            <v>71</v>
          </cell>
          <cell r="B746" t="str">
            <v>FD00027</v>
          </cell>
          <cell r="C746" t="str">
            <v>ABUMENRE LAWRENCE ORELE</v>
          </cell>
          <cell r="D746" t="str">
            <v>Operations Manager</v>
          </cell>
          <cell r="E746" t="str">
            <v>Ensure average RMS sensors availability of 95% per month</v>
          </cell>
          <cell r="F746" t="str">
            <v>Ensure average RMS sensors availability of 95% per month</v>
          </cell>
          <cell r="G746">
            <v>0.15</v>
          </cell>
          <cell r="H746">
            <v>0.15</v>
          </cell>
          <cell r="I746">
            <v>0.95</v>
          </cell>
          <cell r="J746" t="str">
            <v>Ensure average RMS sensors availability of 95% per month</v>
          </cell>
          <cell r="K746" t="str">
            <v>Achieve Average  PA &gt; 99.5% for every month staring August 2025 (refer to 'PA Glide Path' below)</v>
          </cell>
          <cell r="L746" t="str">
            <v xml:space="preserve">ODUNLAMI GABRIEL OLUSEYI </v>
          </cell>
        </row>
        <row r="747">
          <cell r="A747">
            <v>71</v>
          </cell>
          <cell r="B747" t="str">
            <v>FD00027</v>
          </cell>
          <cell r="C747" t="str">
            <v>ABUMENRE LAWRENCE ORELE</v>
          </cell>
          <cell r="D747" t="str">
            <v>Operations Manager</v>
          </cell>
          <cell r="E747" t="str">
            <v>MS Vendor SLA - Ensure 95% compliance on PPM and janitorial</v>
          </cell>
          <cell r="F747" t="str">
            <v>MS Vendor SLA - Ensure 95% compliance on PPM and janitorial</v>
          </cell>
          <cell r="G747">
            <v>0.15</v>
          </cell>
          <cell r="H747">
            <v>0.15</v>
          </cell>
          <cell r="J747" t="str">
            <v>MS Vendor SLA - Ensure 95% compliance on PPM and janitorial</v>
          </cell>
          <cell r="L747" t="str">
            <v xml:space="preserve">ODUNLAMI GABRIEL OLUSEYI </v>
          </cell>
        </row>
        <row r="748">
          <cell r="A748">
            <v>72</v>
          </cell>
          <cell r="B748" t="str">
            <v>FD00029</v>
          </cell>
          <cell r="C748" t="str">
            <v>NGWU NATHAN</v>
          </cell>
          <cell r="D748" t="str">
            <v>Operations Manager</v>
          </cell>
          <cell r="E748" t="str">
            <v>Ensure average fault per site of &lt; 2. 4 per month</v>
          </cell>
          <cell r="F748" t="str">
            <v>Ensure average fault per site of &lt; 2. 4 per month</v>
          </cell>
          <cell r="G748">
            <v>0.25</v>
          </cell>
          <cell r="H748">
            <v>0.25</v>
          </cell>
          <cell r="I748" t="str">
            <v>&lt;2.4</v>
          </cell>
          <cell r="J748" t="str">
            <v>Ensure average fault per site of &lt; 2. 4 per month</v>
          </cell>
          <cell r="K748" t="str">
            <v>Achieve Average  PA &gt; 99.5% for every month staring August 2025 (refer to 'PA Glide Path' below)</v>
          </cell>
          <cell r="L748" t="str">
            <v>EMMANUEL EZE</v>
          </cell>
        </row>
        <row r="749">
          <cell r="A749">
            <v>72</v>
          </cell>
          <cell r="B749" t="str">
            <v>FD00029</v>
          </cell>
          <cell r="C749" t="str">
            <v>NGWU NATHAN</v>
          </cell>
          <cell r="D749" t="str">
            <v>Operations Manager</v>
          </cell>
          <cell r="E749" t="str">
            <v>Ensure MTTR &lt;90minutes</v>
          </cell>
          <cell r="F749" t="str">
            <v>Ensure MTTR &lt;90minutes</v>
          </cell>
          <cell r="G749">
            <v>0.2</v>
          </cell>
          <cell r="H749">
            <v>0.2</v>
          </cell>
          <cell r="I749" t="str">
            <v>&lt;90min</v>
          </cell>
          <cell r="J749" t="str">
            <v>Ensure MTTR &lt;90minutes</v>
          </cell>
          <cell r="K749" t="str">
            <v>Achieve Average  PA &gt; 99.5% for every month staring August 2025 (refer to 'PA Glide Path' below)</v>
          </cell>
          <cell r="L749" t="str">
            <v>EMMANUEL EZE</v>
          </cell>
        </row>
        <row r="750">
          <cell r="A750">
            <v>72</v>
          </cell>
          <cell r="B750" t="str">
            <v>FD00029</v>
          </cell>
          <cell r="C750" t="str">
            <v>NGWU NATHAN</v>
          </cell>
          <cell r="D750" t="str">
            <v>Operations Manager</v>
          </cell>
          <cell r="E750" t="str">
            <v>65% and above sites meeting PA &gt; 99.5%</v>
          </cell>
          <cell r="F750" t="str">
            <v>65% and above sites meeting PA &gt; 99.5%</v>
          </cell>
          <cell r="G750">
            <v>0.25</v>
          </cell>
          <cell r="H750">
            <v>0.25</v>
          </cell>
          <cell r="I750">
            <v>0.65</v>
          </cell>
          <cell r="J750" t="str">
            <v>65% and above sites meeting PA &gt; 99.5%</v>
          </cell>
          <cell r="K750" t="str">
            <v>Achieve Average  PA &gt; 99.5% for every month staring August 2025 (refer to 'PA Glide Path' below)</v>
          </cell>
          <cell r="L750" t="str">
            <v>EMMANUEL EZE</v>
          </cell>
        </row>
        <row r="751">
          <cell r="A751">
            <v>72</v>
          </cell>
          <cell r="B751" t="str">
            <v>FD00029</v>
          </cell>
          <cell r="C751" t="str">
            <v>NGWU NATHAN</v>
          </cell>
          <cell r="D751" t="str">
            <v>Operations Manager</v>
          </cell>
          <cell r="E751" t="str">
            <v>Ensure average RMS sensors availability of 95% per month</v>
          </cell>
          <cell r="F751" t="str">
            <v>Ensure average RMS sensors availability of 95% per month</v>
          </cell>
          <cell r="G751">
            <v>0.15</v>
          </cell>
          <cell r="H751">
            <v>0.15</v>
          </cell>
          <cell r="I751">
            <v>0.95</v>
          </cell>
          <cell r="J751" t="str">
            <v>Ensure average RMS sensors availability of 95% per month</v>
          </cell>
          <cell r="K751" t="str">
            <v>Achieve Average  PA &gt; 99.5% for every month staring August 2025 (refer to 'PA Glide Path' below)</v>
          </cell>
          <cell r="L751" t="str">
            <v>EMMANUEL EZE</v>
          </cell>
        </row>
        <row r="752">
          <cell r="A752">
            <v>72</v>
          </cell>
          <cell r="B752" t="str">
            <v>FD00029</v>
          </cell>
          <cell r="C752" t="str">
            <v>NGWU NATHAN</v>
          </cell>
          <cell r="D752" t="str">
            <v>Operations Manager</v>
          </cell>
          <cell r="E752" t="str">
            <v>MS Vendor SLA - Ensure 95% compliance on PPM and janitorial</v>
          </cell>
          <cell r="F752" t="str">
            <v>MS Vendor SLA - Ensure 95% compliance on PPM and janitorial</v>
          </cell>
          <cell r="G752">
            <v>0.15</v>
          </cell>
          <cell r="H752">
            <v>0.15</v>
          </cell>
          <cell r="J752" t="str">
            <v>MS Vendor SLA - Ensure 95% compliance on PPM and janitorial</v>
          </cell>
          <cell r="L752" t="str">
            <v>EMMANUEL EZE</v>
          </cell>
        </row>
        <row r="753">
          <cell r="A753">
            <v>73</v>
          </cell>
          <cell r="B753" t="str">
            <v>FD00032</v>
          </cell>
          <cell r="C753" t="str">
            <v>TAIWO OLADIPUPO</v>
          </cell>
          <cell r="D753" t="str">
            <v>Operations Manager</v>
          </cell>
          <cell r="E753" t="str">
            <v>Ensure average fault per site of &lt; 2. 4 per month</v>
          </cell>
          <cell r="F753" t="str">
            <v>Ensure average fault per site of &lt; 2. 4 per month</v>
          </cell>
          <cell r="G753">
            <v>0.25</v>
          </cell>
          <cell r="H753">
            <v>0.25</v>
          </cell>
          <cell r="I753" t="str">
            <v>&lt;2.4</v>
          </cell>
          <cell r="J753" t="str">
            <v>Ensure average fault per site of &lt; 2. 4 per month</v>
          </cell>
          <cell r="K753" t="str">
            <v>Achieve Average  PA &gt; 99.5% for every month staring August 2025 (refer to 'PA Glide Path' below)</v>
          </cell>
          <cell r="L753" t="str">
            <v>FEMI PHILLIPS OLADIPUPO</v>
          </cell>
        </row>
        <row r="754">
          <cell r="A754">
            <v>73</v>
          </cell>
          <cell r="B754" t="str">
            <v>FD00032</v>
          </cell>
          <cell r="C754" t="str">
            <v>TAIWO OLADIPUPO</v>
          </cell>
          <cell r="D754" t="str">
            <v>Operations Manager</v>
          </cell>
          <cell r="E754" t="str">
            <v>Ensure MTTR &lt;90minutes</v>
          </cell>
          <cell r="F754" t="str">
            <v>Ensure MTTR &lt;90minutes</v>
          </cell>
          <cell r="G754">
            <v>0.2</v>
          </cell>
          <cell r="H754">
            <v>0.2</v>
          </cell>
          <cell r="I754" t="str">
            <v>&lt;90min</v>
          </cell>
          <cell r="J754" t="str">
            <v>Ensure MTTR &lt;90minutes</v>
          </cell>
          <cell r="K754" t="str">
            <v>Achieve Average  PA &gt; 99.5% for every month staring August 2025 (refer to 'PA Glide Path' below)</v>
          </cell>
          <cell r="L754" t="str">
            <v>FEMI PHILLIPS OLADIPUPO</v>
          </cell>
        </row>
        <row r="755">
          <cell r="A755">
            <v>73</v>
          </cell>
          <cell r="B755" t="str">
            <v>FD00032</v>
          </cell>
          <cell r="C755" t="str">
            <v>TAIWO OLADIPUPO</v>
          </cell>
          <cell r="D755" t="str">
            <v>Operations Manager</v>
          </cell>
          <cell r="E755" t="str">
            <v>65% and above sites meeting PA &gt; 99.5%</v>
          </cell>
          <cell r="F755" t="str">
            <v>65% and above sites meeting PA &gt; 99.5%</v>
          </cell>
          <cell r="G755">
            <v>0.25</v>
          </cell>
          <cell r="H755">
            <v>0.25</v>
          </cell>
          <cell r="I755">
            <v>0.65</v>
          </cell>
          <cell r="J755" t="str">
            <v>65% and above sites meeting PA &gt; 99.5%</v>
          </cell>
          <cell r="K755" t="str">
            <v>Achieve Average  PA &gt; 99.5% for every month staring August 2025 (refer to 'PA Glide Path' below)</v>
          </cell>
          <cell r="L755" t="str">
            <v>FEMI PHILLIPS OLADIPUPO</v>
          </cell>
        </row>
        <row r="756">
          <cell r="A756">
            <v>73</v>
          </cell>
          <cell r="B756" t="str">
            <v>FD00032</v>
          </cell>
          <cell r="C756" t="str">
            <v>TAIWO OLADIPUPO</v>
          </cell>
          <cell r="D756" t="str">
            <v>Operations Manager</v>
          </cell>
          <cell r="E756" t="str">
            <v>Ensure average RMS sensors availability of 95% per month</v>
          </cell>
          <cell r="F756" t="str">
            <v>Ensure average RMS sensors availability of 95% per month</v>
          </cell>
          <cell r="G756">
            <v>0.15</v>
          </cell>
          <cell r="H756">
            <v>0.15</v>
          </cell>
          <cell r="I756">
            <v>0.95</v>
          </cell>
          <cell r="J756" t="str">
            <v>Ensure average RMS sensors availability of 95% per month</v>
          </cell>
          <cell r="K756" t="str">
            <v>Achieve Average  PA &gt; 99.5% for every month staring August 2025 (refer to 'PA Glide Path' below)</v>
          </cell>
          <cell r="L756" t="str">
            <v>FEMI PHILLIPS OLADIPUPO</v>
          </cell>
        </row>
        <row r="757">
          <cell r="A757">
            <v>73</v>
          </cell>
          <cell r="B757" t="str">
            <v>FD00032</v>
          </cell>
          <cell r="C757" t="str">
            <v>TAIWO OLADIPUPO</v>
          </cell>
          <cell r="D757" t="str">
            <v>Operations Manager</v>
          </cell>
          <cell r="E757" t="str">
            <v>MS Vendor SLA - Ensure 95% compliance on PPM and janitorial</v>
          </cell>
          <cell r="F757" t="str">
            <v>MS Vendor SLA - Ensure 95% compliance on PPM and janitorial</v>
          </cell>
          <cell r="G757">
            <v>0.15</v>
          </cell>
          <cell r="H757">
            <v>0.15</v>
          </cell>
          <cell r="J757" t="str">
            <v>MS Vendor SLA - Ensure 95% compliance on PPM and janitorial</v>
          </cell>
          <cell r="L757" t="str">
            <v>FEMI PHILLIPS OLADIPUPO</v>
          </cell>
        </row>
        <row r="758">
          <cell r="A758">
            <v>74</v>
          </cell>
          <cell r="B758" t="str">
            <v>FD00034</v>
          </cell>
          <cell r="C758" t="str">
            <v>SALAUDEEN MUTIU OLADIMEJI</v>
          </cell>
          <cell r="D758" t="str">
            <v>Operations Manager</v>
          </cell>
          <cell r="E758" t="str">
            <v>Ensure average fault per site of &lt; 2. 4 per month</v>
          </cell>
          <cell r="F758" t="str">
            <v>Ensure average fault per site of &lt; 2. 4 per month</v>
          </cell>
          <cell r="G758">
            <v>0.25</v>
          </cell>
          <cell r="H758">
            <v>0.25</v>
          </cell>
          <cell r="I758" t="str">
            <v>&lt;2.4</v>
          </cell>
          <cell r="J758" t="str">
            <v>Ensure average fault per site of &lt; 2. 4 per month</v>
          </cell>
          <cell r="K758" t="str">
            <v>Achieve Average  PA &gt; 99.5% for every month staring August 2025 (refer to 'PA Glide Path' below)</v>
          </cell>
          <cell r="L758" t="str">
            <v>FRANCIS ONWU INYA</v>
          </cell>
        </row>
        <row r="759">
          <cell r="A759">
            <v>74</v>
          </cell>
          <cell r="B759" t="str">
            <v>FD00034</v>
          </cell>
          <cell r="C759" t="str">
            <v>SALAUDEEN MUTIU OLADIMEJI</v>
          </cell>
          <cell r="D759" t="str">
            <v>Operations Manager</v>
          </cell>
          <cell r="E759" t="str">
            <v>Ensure MTTR &lt;90minutes</v>
          </cell>
          <cell r="F759" t="str">
            <v>Ensure MTTR &lt;90minutes</v>
          </cell>
          <cell r="G759">
            <v>0.2</v>
          </cell>
          <cell r="H759">
            <v>0.2</v>
          </cell>
          <cell r="I759" t="str">
            <v>&lt;90min</v>
          </cell>
          <cell r="J759" t="str">
            <v>Ensure MTTR &lt;90minutes</v>
          </cell>
          <cell r="K759" t="str">
            <v>Achieve Average  PA &gt; 99.5% for every month staring August 2025 (refer to 'PA Glide Path' below)</v>
          </cell>
          <cell r="L759" t="str">
            <v>FRANCIS ONWU INYA</v>
          </cell>
        </row>
        <row r="760">
          <cell r="A760">
            <v>74</v>
          </cell>
          <cell r="B760" t="str">
            <v>FD00034</v>
          </cell>
          <cell r="C760" t="str">
            <v>SALAUDEEN MUTIU OLADIMEJI</v>
          </cell>
          <cell r="D760" t="str">
            <v>Operations Manager</v>
          </cell>
          <cell r="E760" t="str">
            <v>65% and above sites meeting PA &gt; 99.5%</v>
          </cell>
          <cell r="F760" t="str">
            <v>65% and above sites meeting PA &gt; 99.5%</v>
          </cell>
          <cell r="G760">
            <v>0.25</v>
          </cell>
          <cell r="H760">
            <v>0.25</v>
          </cell>
          <cell r="I760">
            <v>0.65</v>
          </cell>
          <cell r="J760" t="str">
            <v>65% and above sites meeting PA &gt; 99.5%</v>
          </cell>
          <cell r="K760" t="str">
            <v>Achieve Average  PA &gt; 99.5% for every month staring August 2025 (refer to 'PA Glide Path' below)</v>
          </cell>
          <cell r="L760" t="str">
            <v>FRANCIS ONWU INYA</v>
          </cell>
        </row>
        <row r="761">
          <cell r="A761">
            <v>74</v>
          </cell>
          <cell r="B761" t="str">
            <v>FD00034</v>
          </cell>
          <cell r="C761" t="str">
            <v>SALAUDEEN MUTIU OLADIMEJI</v>
          </cell>
          <cell r="D761" t="str">
            <v>Operations Manager</v>
          </cell>
          <cell r="E761" t="str">
            <v>Ensure average RMS sensors availability of 95% per month</v>
          </cell>
          <cell r="F761" t="str">
            <v>Ensure average RMS sensors availability of 95% per month</v>
          </cell>
          <cell r="G761">
            <v>0.15</v>
          </cell>
          <cell r="H761">
            <v>0.15</v>
          </cell>
          <cell r="I761">
            <v>0.95</v>
          </cell>
          <cell r="J761" t="str">
            <v>Ensure average RMS sensors availability of 95% per month</v>
          </cell>
          <cell r="K761" t="str">
            <v>Achieve Average  PA &gt; 99.5% for every month staring August 2025 (refer to 'PA Glide Path' below)</v>
          </cell>
          <cell r="L761" t="str">
            <v>FRANCIS ONWU INYA</v>
          </cell>
        </row>
        <row r="762">
          <cell r="A762">
            <v>74</v>
          </cell>
          <cell r="B762" t="str">
            <v>FD00034</v>
          </cell>
          <cell r="C762" t="str">
            <v>SALAUDEEN MUTIU OLADIMEJI</v>
          </cell>
          <cell r="D762" t="str">
            <v>Operations Manager</v>
          </cell>
          <cell r="E762" t="str">
            <v>MS Vendor SLA - Ensure 95% compliance on PPM and janitorial</v>
          </cell>
          <cell r="F762" t="str">
            <v>MS Vendor SLA - Ensure 95% compliance on PPM and janitorial</v>
          </cell>
          <cell r="G762">
            <v>0.15</v>
          </cell>
          <cell r="H762">
            <v>0.15</v>
          </cell>
          <cell r="J762" t="str">
            <v>MS Vendor SLA - Ensure 95% compliance on PPM and janitorial</v>
          </cell>
          <cell r="L762" t="str">
            <v>FRANCIS ONWU INYA</v>
          </cell>
        </row>
        <row r="763">
          <cell r="A763">
            <v>75</v>
          </cell>
          <cell r="B763" t="str">
            <v>FD00035</v>
          </cell>
          <cell r="C763" t="str">
            <v>MUSA  IBRAHIM </v>
          </cell>
          <cell r="D763" t="str">
            <v>Operations Manager</v>
          </cell>
          <cell r="E763" t="str">
            <v>Ensure average fault per site of &lt; 2. 4 per month</v>
          </cell>
          <cell r="F763" t="str">
            <v>Ensure average fault per site of &lt; 2. 4 per month</v>
          </cell>
          <cell r="G763">
            <v>0.25</v>
          </cell>
          <cell r="H763">
            <v>0.25</v>
          </cell>
          <cell r="I763" t="str">
            <v>&lt;2.4</v>
          </cell>
          <cell r="J763" t="str">
            <v>Ensure average fault per site of &lt; 2. 4 per month</v>
          </cell>
          <cell r="K763" t="str">
            <v>Achieve Average  PA &gt; 99.5% for every month staring August 2025 (refer to 'PA Glide Path' below)</v>
          </cell>
          <cell r="L763" t="str">
            <v xml:space="preserve">ODUNLAMI GABRIEL OLUSEYI </v>
          </cell>
        </row>
        <row r="764">
          <cell r="A764">
            <v>75</v>
          </cell>
          <cell r="B764" t="str">
            <v>FD00035</v>
          </cell>
          <cell r="C764" t="str">
            <v>MUSA  IBRAHIM </v>
          </cell>
          <cell r="D764" t="str">
            <v>Operations Manager</v>
          </cell>
          <cell r="E764" t="str">
            <v>Ensure MTTR &lt;90minutes</v>
          </cell>
          <cell r="F764" t="str">
            <v>Ensure MTTR &lt;90minutes</v>
          </cell>
          <cell r="G764">
            <v>0.2</v>
          </cell>
          <cell r="H764">
            <v>0.2</v>
          </cell>
          <cell r="I764" t="str">
            <v>&lt;90min</v>
          </cell>
          <cell r="J764" t="str">
            <v>Ensure MTTR &lt;90minutes</v>
          </cell>
          <cell r="K764" t="str">
            <v>Achieve Average  PA &gt; 99.5% for every month staring August 2025 (refer to 'PA Glide Path' below)</v>
          </cell>
          <cell r="L764" t="str">
            <v xml:space="preserve">ODUNLAMI GABRIEL OLUSEYI </v>
          </cell>
        </row>
        <row r="765">
          <cell r="A765">
            <v>75</v>
          </cell>
          <cell r="B765" t="str">
            <v>FD00035</v>
          </cell>
          <cell r="C765" t="str">
            <v>MUSA  IBRAHIM </v>
          </cell>
          <cell r="D765" t="str">
            <v>Operations Manager</v>
          </cell>
          <cell r="E765" t="str">
            <v>65% and above sites meeting PA &gt; 99.5%</v>
          </cell>
          <cell r="F765" t="str">
            <v>65% and above sites meeting PA &gt; 99.5%</v>
          </cell>
          <cell r="G765">
            <v>0.25</v>
          </cell>
          <cell r="H765">
            <v>0.25</v>
          </cell>
          <cell r="I765">
            <v>0.65</v>
          </cell>
          <cell r="J765" t="str">
            <v>65% and above sites meeting PA &gt; 99.5%</v>
          </cell>
          <cell r="K765" t="str">
            <v>Achieve Average  PA &gt; 99.5% for every month staring August 2025 (refer to 'PA Glide Path' below)</v>
          </cell>
          <cell r="L765" t="str">
            <v xml:space="preserve">ODUNLAMI GABRIEL OLUSEYI </v>
          </cell>
        </row>
        <row r="766">
          <cell r="A766">
            <v>75</v>
          </cell>
          <cell r="B766" t="str">
            <v>FD00035</v>
          </cell>
          <cell r="C766" t="str">
            <v>MUSA  IBRAHIM </v>
          </cell>
          <cell r="D766" t="str">
            <v>Operations Manager</v>
          </cell>
          <cell r="E766" t="str">
            <v>Ensure average RMS sensors availability of 95% per month</v>
          </cell>
          <cell r="F766" t="str">
            <v>Ensure average RMS sensors availability of 95% per month</v>
          </cell>
          <cell r="G766">
            <v>0.15</v>
          </cell>
          <cell r="H766">
            <v>0.15</v>
          </cell>
          <cell r="I766">
            <v>0.95</v>
          </cell>
          <cell r="J766" t="str">
            <v>Ensure average RMS sensors availability of 95% per month</v>
          </cell>
          <cell r="K766" t="str">
            <v>Achieve Average  PA &gt; 99.5% for every month staring August 2025 (refer to 'PA Glide Path' below)</v>
          </cell>
          <cell r="L766" t="str">
            <v xml:space="preserve">ODUNLAMI GABRIEL OLUSEYI </v>
          </cell>
        </row>
        <row r="767">
          <cell r="A767">
            <v>75</v>
          </cell>
          <cell r="B767" t="str">
            <v>FD00035</v>
          </cell>
          <cell r="C767" t="str">
            <v>MUSA  IBRAHIM </v>
          </cell>
          <cell r="D767" t="str">
            <v>Operations Manager</v>
          </cell>
          <cell r="E767" t="str">
            <v>MS Vendor SLA - Ensure 95% compliance on PPM and janitorial</v>
          </cell>
          <cell r="F767" t="str">
            <v>MS Vendor SLA - Ensure 95% compliance on PPM and janitorial</v>
          </cell>
          <cell r="G767">
            <v>0.15</v>
          </cell>
          <cell r="H767">
            <v>0.15</v>
          </cell>
          <cell r="J767" t="str">
            <v>MS Vendor SLA - Ensure 95% compliance on PPM and janitorial</v>
          </cell>
          <cell r="L767" t="str">
            <v xml:space="preserve">ODUNLAMI GABRIEL OLUSEYI </v>
          </cell>
        </row>
        <row r="768">
          <cell r="A768">
            <v>76</v>
          </cell>
          <cell r="B768" t="str">
            <v>FD00038</v>
          </cell>
          <cell r="C768" t="str">
            <v xml:space="preserve">ONUH DAVID DAVID </v>
          </cell>
          <cell r="D768" t="str">
            <v>Operations Manager</v>
          </cell>
          <cell r="E768" t="str">
            <v>Ensure average fault per site of &lt; 2. 4 per month</v>
          </cell>
          <cell r="F768" t="str">
            <v>Ensure average fault per site of &lt; 2. 4 per month</v>
          </cell>
          <cell r="G768">
            <v>0.25</v>
          </cell>
          <cell r="H768">
            <v>0.25</v>
          </cell>
          <cell r="I768" t="str">
            <v>&lt;2.4</v>
          </cell>
          <cell r="J768" t="str">
            <v>Ensure average fault per site of &lt; 2. 4 per month</v>
          </cell>
          <cell r="K768" t="str">
            <v>Achieve Average  PA &gt; 99.5% for every month staring August 2025 (refer to 'PA Glide Path' below)</v>
          </cell>
          <cell r="L768" t="str">
            <v>BARNABAS AKUHWA</v>
          </cell>
        </row>
        <row r="769">
          <cell r="A769">
            <v>76</v>
          </cell>
          <cell r="B769" t="str">
            <v>FD00038</v>
          </cell>
          <cell r="C769" t="str">
            <v xml:space="preserve">ONUH DAVID DAVID </v>
          </cell>
          <cell r="D769" t="str">
            <v>Operations Manager</v>
          </cell>
          <cell r="E769" t="str">
            <v>Ensure MTTR &lt;90minutes</v>
          </cell>
          <cell r="F769" t="str">
            <v>Ensure MTTR &lt;90minutes</v>
          </cell>
          <cell r="G769">
            <v>0.2</v>
          </cell>
          <cell r="H769">
            <v>0.2</v>
          </cell>
          <cell r="I769" t="str">
            <v>&lt;90min</v>
          </cell>
          <cell r="J769" t="str">
            <v>Ensure MTTR &lt;90minutes</v>
          </cell>
          <cell r="K769" t="str">
            <v>Achieve Average  PA &gt; 99.5% for every month staring August 2025 (refer to 'PA Glide Path' below)</v>
          </cell>
          <cell r="L769" t="str">
            <v>BARNABAS AKUHWA</v>
          </cell>
        </row>
        <row r="770">
          <cell r="A770">
            <v>76</v>
          </cell>
          <cell r="B770" t="str">
            <v>FD00038</v>
          </cell>
          <cell r="C770" t="str">
            <v xml:space="preserve">ONUH DAVID DAVID </v>
          </cell>
          <cell r="D770" t="str">
            <v>Operations Manager</v>
          </cell>
          <cell r="E770" t="str">
            <v>65% and above sites meeting PA &gt; 99.5%</v>
          </cell>
          <cell r="F770" t="str">
            <v>65% and above sites meeting PA &gt; 99.5%</v>
          </cell>
          <cell r="G770">
            <v>0.25</v>
          </cell>
          <cell r="H770">
            <v>0.25</v>
          </cell>
          <cell r="I770">
            <v>0.65</v>
          </cell>
          <cell r="J770" t="str">
            <v>65% and above sites meeting PA &gt; 99.5%</v>
          </cell>
          <cell r="K770" t="str">
            <v>Achieve Average  PA &gt; 99.5% for every month staring August 2025 (refer to 'PA Glide Path' below)</v>
          </cell>
          <cell r="L770" t="str">
            <v>BARNABAS AKUHWA</v>
          </cell>
        </row>
        <row r="771">
          <cell r="A771">
            <v>76</v>
          </cell>
          <cell r="B771" t="str">
            <v>FD00038</v>
          </cell>
          <cell r="C771" t="str">
            <v xml:space="preserve">ONUH DAVID DAVID </v>
          </cell>
          <cell r="D771" t="str">
            <v>Operations Manager</v>
          </cell>
          <cell r="E771" t="str">
            <v>Ensure average RMS sensors availability of 95% per month</v>
          </cell>
          <cell r="F771" t="str">
            <v>Ensure average RMS sensors availability of 95% per month</v>
          </cell>
          <cell r="G771">
            <v>0.15</v>
          </cell>
          <cell r="H771">
            <v>0.15</v>
          </cell>
          <cell r="I771">
            <v>0.95</v>
          </cell>
          <cell r="J771" t="str">
            <v>Ensure average RMS sensors availability of 95% per month</v>
          </cell>
          <cell r="K771" t="str">
            <v>Achieve Average  PA &gt; 99.5% for every month staring August 2025 (refer to 'PA Glide Path' below)</v>
          </cell>
          <cell r="L771" t="str">
            <v>BARNABAS AKUHWA</v>
          </cell>
        </row>
        <row r="772">
          <cell r="A772">
            <v>76</v>
          </cell>
          <cell r="B772" t="str">
            <v>FD00038</v>
          </cell>
          <cell r="C772" t="str">
            <v xml:space="preserve">ONUH DAVID DAVID </v>
          </cell>
          <cell r="D772" t="str">
            <v>Operations Manager</v>
          </cell>
          <cell r="E772" t="str">
            <v>MS Vendor SLA - Ensure 95% compliance on PPM and janitorial</v>
          </cell>
          <cell r="F772" t="str">
            <v>MS Vendor SLA - Ensure 95% compliance on PPM and janitorial</v>
          </cell>
          <cell r="G772">
            <v>0.15</v>
          </cell>
          <cell r="H772">
            <v>0.15</v>
          </cell>
          <cell r="J772" t="str">
            <v>MS Vendor SLA - Ensure 95% compliance on PPM and janitorial</v>
          </cell>
          <cell r="L772" t="str">
            <v>BARNABAS AKUHWA</v>
          </cell>
        </row>
        <row r="773">
          <cell r="A773">
            <v>77</v>
          </cell>
          <cell r="B773" t="str">
            <v>FD00039</v>
          </cell>
          <cell r="C773" t="str">
            <v>ONUORAH MICHEAL</v>
          </cell>
          <cell r="D773" t="str">
            <v>Operations Manager</v>
          </cell>
          <cell r="E773" t="str">
            <v>Ensure average fault per site of &lt; 2. 4 per month</v>
          </cell>
          <cell r="F773" t="str">
            <v>Ensure average fault per site of &lt; 2. 4 per month</v>
          </cell>
          <cell r="G773">
            <v>0.25</v>
          </cell>
          <cell r="H773">
            <v>0.25</v>
          </cell>
          <cell r="I773" t="str">
            <v>&lt;2.4</v>
          </cell>
          <cell r="J773" t="str">
            <v>Ensure average fault per site of &lt; 2. 4 per month</v>
          </cell>
          <cell r="K773" t="str">
            <v>Achieve Average  PA &gt; 99.5% for every month staring August 2025 (refer to 'PA Glide Path' below)</v>
          </cell>
          <cell r="L773" t="str">
            <v>EMMANUEL EZE</v>
          </cell>
        </row>
        <row r="774">
          <cell r="A774">
            <v>77</v>
          </cell>
          <cell r="B774" t="str">
            <v>FD00039</v>
          </cell>
          <cell r="C774" t="str">
            <v>ONUORAH MICHEAL</v>
          </cell>
          <cell r="D774" t="str">
            <v>Operations Manager</v>
          </cell>
          <cell r="E774" t="str">
            <v>Ensure MTTR &lt;90minutes</v>
          </cell>
          <cell r="F774" t="str">
            <v>Ensure MTTR &lt;90minutes</v>
          </cell>
          <cell r="G774">
            <v>0.2</v>
          </cell>
          <cell r="H774">
            <v>0.2</v>
          </cell>
          <cell r="I774" t="str">
            <v>&lt;90min</v>
          </cell>
          <cell r="J774" t="str">
            <v>Ensure MTTR &lt;90minutes</v>
          </cell>
          <cell r="K774" t="str">
            <v>Achieve Average  PA &gt; 99.5% for every month staring August 2025 (refer to 'PA Glide Path' below)</v>
          </cell>
          <cell r="L774" t="str">
            <v>EMMANUEL EZE</v>
          </cell>
        </row>
        <row r="775">
          <cell r="A775">
            <v>77</v>
          </cell>
          <cell r="B775" t="str">
            <v>FD00039</v>
          </cell>
          <cell r="C775" t="str">
            <v>ONUORAH MICHEAL</v>
          </cell>
          <cell r="D775" t="str">
            <v>Operations Manager</v>
          </cell>
          <cell r="E775" t="str">
            <v>65% and above sites meeting PA &gt; 99.5%</v>
          </cell>
          <cell r="F775" t="str">
            <v>65% and above sites meeting PA &gt; 99.5%</v>
          </cell>
          <cell r="G775">
            <v>0.25</v>
          </cell>
          <cell r="H775">
            <v>0.25</v>
          </cell>
          <cell r="I775">
            <v>0.65</v>
          </cell>
          <cell r="J775" t="str">
            <v>65% and above sites meeting PA &gt; 99.5%</v>
          </cell>
          <cell r="K775" t="str">
            <v>Achieve Average  PA &gt; 99.5% for every month staring August 2025 (refer to 'PA Glide Path' below)</v>
          </cell>
          <cell r="L775" t="str">
            <v>EMMANUEL EZE</v>
          </cell>
        </row>
        <row r="776">
          <cell r="A776">
            <v>77</v>
          </cell>
          <cell r="B776" t="str">
            <v>FD00039</v>
          </cell>
          <cell r="C776" t="str">
            <v>ONUORAH MICHEAL</v>
          </cell>
          <cell r="D776" t="str">
            <v>Operations Manager</v>
          </cell>
          <cell r="E776" t="str">
            <v>Ensure average RMS sensors availability of 95% per month</v>
          </cell>
          <cell r="F776" t="str">
            <v>Ensure average RMS sensors availability of 95% per month</v>
          </cell>
          <cell r="G776">
            <v>0.15</v>
          </cell>
          <cell r="H776">
            <v>0.15</v>
          </cell>
          <cell r="I776">
            <v>0.95</v>
          </cell>
          <cell r="J776" t="str">
            <v>Ensure average RMS sensors availability of 95% per month</v>
          </cell>
          <cell r="K776" t="str">
            <v>Achieve Average  PA &gt; 99.5% for every month staring August 2025 (refer to 'PA Glide Path' below)</v>
          </cell>
          <cell r="L776" t="str">
            <v>EMMANUEL EZE</v>
          </cell>
        </row>
        <row r="777">
          <cell r="A777">
            <v>77</v>
          </cell>
          <cell r="B777" t="str">
            <v>FD00039</v>
          </cell>
          <cell r="C777" t="str">
            <v>ONUORAH MICHEAL</v>
          </cell>
          <cell r="D777" t="str">
            <v>Operations Manager</v>
          </cell>
          <cell r="E777" t="str">
            <v>MS Vendor SLA - Ensure 95% compliance on PPM and janitorial</v>
          </cell>
          <cell r="F777" t="str">
            <v>MS Vendor SLA - Ensure 95% compliance on PPM and janitorial</v>
          </cell>
          <cell r="G777">
            <v>0.15</v>
          </cell>
          <cell r="H777">
            <v>0.15</v>
          </cell>
          <cell r="J777" t="str">
            <v>MS Vendor SLA - Ensure 95% compliance on PPM and janitorial</v>
          </cell>
          <cell r="L777" t="str">
            <v>EMMANUEL EZE</v>
          </cell>
        </row>
        <row r="778">
          <cell r="A778">
            <v>78</v>
          </cell>
          <cell r="B778" t="str">
            <v>FD00040</v>
          </cell>
          <cell r="C778" t="str">
            <v>THOMAS ILUOBE</v>
          </cell>
          <cell r="D778" t="str">
            <v>Operations Manager</v>
          </cell>
          <cell r="E778" t="str">
            <v>Ensure average fault per site of &lt; 2. 4 per month</v>
          </cell>
          <cell r="F778" t="str">
            <v>Ensure average fault per site of &lt; 2. 4 per month</v>
          </cell>
          <cell r="G778">
            <v>0.25</v>
          </cell>
          <cell r="H778">
            <v>0.25</v>
          </cell>
          <cell r="I778" t="str">
            <v>&lt;2.4</v>
          </cell>
          <cell r="J778" t="str">
            <v>Ensure average fault per site of &lt; 2. 4 per month</v>
          </cell>
          <cell r="K778" t="str">
            <v>Achieve Average  PA &gt; 99.5% for every month staring August 2025 (refer to 'PA Glide Path' below)</v>
          </cell>
          <cell r="L778" t="str">
            <v>FRANCIS ONWU INYA</v>
          </cell>
        </row>
        <row r="779">
          <cell r="A779">
            <v>78</v>
          </cell>
          <cell r="B779" t="str">
            <v>FD00040</v>
          </cell>
          <cell r="C779" t="str">
            <v>THOMAS ILUOBE</v>
          </cell>
          <cell r="D779" t="str">
            <v>Operations Manager</v>
          </cell>
          <cell r="E779" t="str">
            <v>Ensure MTTR &lt;90minutes</v>
          </cell>
          <cell r="F779" t="str">
            <v>Ensure MTTR &lt;90minutes</v>
          </cell>
          <cell r="G779">
            <v>0.2</v>
          </cell>
          <cell r="H779">
            <v>0.2</v>
          </cell>
          <cell r="I779" t="str">
            <v>&lt;90min</v>
          </cell>
          <cell r="J779" t="str">
            <v>Ensure MTTR &lt;90minutes</v>
          </cell>
          <cell r="K779" t="str">
            <v>Achieve Average  PA &gt; 99.5% for every month staring August 2025 (refer to 'PA Glide Path' below)</v>
          </cell>
          <cell r="L779" t="str">
            <v>FRANCIS ONWU INYA</v>
          </cell>
        </row>
        <row r="780">
          <cell r="A780">
            <v>78</v>
          </cell>
          <cell r="B780" t="str">
            <v>FD00040</v>
          </cell>
          <cell r="C780" t="str">
            <v>THOMAS ILUOBE</v>
          </cell>
          <cell r="D780" t="str">
            <v>Operations Manager</v>
          </cell>
          <cell r="E780" t="str">
            <v>65% and above sites meeting PA &gt; 99.5%</v>
          </cell>
          <cell r="F780" t="str">
            <v>65% and above sites meeting PA &gt; 99.5%</v>
          </cell>
          <cell r="G780">
            <v>0.25</v>
          </cell>
          <cell r="H780">
            <v>0.25</v>
          </cell>
          <cell r="I780">
            <v>0.65</v>
          </cell>
          <cell r="J780" t="str">
            <v>65% and above sites meeting PA &gt; 99.5%</v>
          </cell>
          <cell r="K780" t="str">
            <v>Achieve Average  PA &gt; 99.5% for every month staring August 2025 (refer to 'PA Glide Path' below)</v>
          </cell>
          <cell r="L780" t="str">
            <v>FRANCIS ONWU INYA</v>
          </cell>
        </row>
        <row r="781">
          <cell r="A781">
            <v>78</v>
          </cell>
          <cell r="B781" t="str">
            <v>FD00040</v>
          </cell>
          <cell r="C781" t="str">
            <v>THOMAS ILUOBE</v>
          </cell>
          <cell r="D781" t="str">
            <v>Operations Manager</v>
          </cell>
          <cell r="E781" t="str">
            <v>Ensure average RMS sensors availability of 95% per month</v>
          </cell>
          <cell r="F781" t="str">
            <v>Ensure average RMS sensors availability of 95% per month</v>
          </cell>
          <cell r="G781">
            <v>0.15</v>
          </cell>
          <cell r="H781">
            <v>0.15</v>
          </cell>
          <cell r="I781">
            <v>0.95</v>
          </cell>
          <cell r="J781" t="str">
            <v>Ensure average RMS sensors availability of 95% per month</v>
          </cell>
          <cell r="K781" t="str">
            <v>Achieve Average  PA &gt; 99.5% for every month staring August 2025 (refer to 'PA Glide Path' below)</v>
          </cell>
          <cell r="L781" t="str">
            <v>FRANCIS ONWU INYA</v>
          </cell>
        </row>
        <row r="782">
          <cell r="A782">
            <v>78</v>
          </cell>
          <cell r="B782" t="str">
            <v>FD00040</v>
          </cell>
          <cell r="C782" t="str">
            <v>THOMAS ILUOBE</v>
          </cell>
          <cell r="D782" t="str">
            <v>Operations Manager</v>
          </cell>
          <cell r="E782" t="str">
            <v>MS Vendor SLA - Ensure 95% compliance on PPM and janitorial</v>
          </cell>
          <cell r="F782" t="str">
            <v>MS Vendor SLA - Ensure 95% compliance on PPM and janitorial</v>
          </cell>
          <cell r="G782">
            <v>0.15</v>
          </cell>
          <cell r="H782">
            <v>0.15</v>
          </cell>
          <cell r="J782" t="str">
            <v>MS Vendor SLA - Ensure 95% compliance on PPM and janitorial</v>
          </cell>
          <cell r="L782" t="str">
            <v>FRANCIS ONWU INYA</v>
          </cell>
        </row>
        <row r="783">
          <cell r="A783">
            <v>79</v>
          </cell>
          <cell r="B783" t="str">
            <v>FD00041</v>
          </cell>
          <cell r="C783" t="str">
            <v>AKINBOLA LAWRENCE</v>
          </cell>
          <cell r="D783" t="str">
            <v>Operations Manager</v>
          </cell>
          <cell r="E783" t="str">
            <v>Ensure average fault per site of &lt; 2. 4 per month</v>
          </cell>
          <cell r="F783" t="str">
            <v>Ensure average fault per site of &lt; 2. 4 per month</v>
          </cell>
          <cell r="G783">
            <v>0.25</v>
          </cell>
          <cell r="H783">
            <v>0.25</v>
          </cell>
          <cell r="I783" t="str">
            <v>&lt;2.4</v>
          </cell>
          <cell r="J783" t="str">
            <v>Ensure average fault per site of &lt; 2. 4 per month</v>
          </cell>
          <cell r="K783" t="str">
            <v>Achieve Average  PA &gt; 99.5% for every month staring August 2025 (refer to 'PA Glide Path' below)</v>
          </cell>
          <cell r="L783" t="str">
            <v xml:space="preserve">ODUNLAMI GABRIEL OLUSEYI </v>
          </cell>
        </row>
        <row r="784">
          <cell r="A784">
            <v>79</v>
          </cell>
          <cell r="B784" t="str">
            <v>FD00041</v>
          </cell>
          <cell r="C784" t="str">
            <v>AKINBOLA LAWRENCE</v>
          </cell>
          <cell r="D784" t="str">
            <v>Operations Manager</v>
          </cell>
          <cell r="E784" t="str">
            <v>Ensure MTTR &lt;90minutes</v>
          </cell>
          <cell r="F784" t="str">
            <v>Ensure MTTR &lt;90minutes</v>
          </cell>
          <cell r="G784">
            <v>0.2</v>
          </cell>
          <cell r="H784">
            <v>0.2</v>
          </cell>
          <cell r="I784" t="str">
            <v>&lt;90min</v>
          </cell>
          <cell r="J784" t="str">
            <v>Ensure MTTR &lt;90minutes</v>
          </cell>
          <cell r="K784" t="str">
            <v>Achieve Average  PA &gt; 99.5% for every month staring August 2025 (refer to 'PA Glide Path' below)</v>
          </cell>
          <cell r="L784" t="str">
            <v xml:space="preserve">ODUNLAMI GABRIEL OLUSEYI </v>
          </cell>
        </row>
        <row r="785">
          <cell r="A785">
            <v>79</v>
          </cell>
          <cell r="B785" t="str">
            <v>FD00041</v>
          </cell>
          <cell r="C785" t="str">
            <v>AKINBOLA LAWRENCE</v>
          </cell>
          <cell r="D785" t="str">
            <v>Operations Manager</v>
          </cell>
          <cell r="E785" t="str">
            <v>65% and above sites meeting PA &gt; 99.5%</v>
          </cell>
          <cell r="F785" t="str">
            <v>65% and above sites meeting PA &gt; 99.5%</v>
          </cell>
          <cell r="G785">
            <v>0.25</v>
          </cell>
          <cell r="H785">
            <v>0.25</v>
          </cell>
          <cell r="I785">
            <v>0.65</v>
          </cell>
          <cell r="J785" t="str">
            <v>65% and above sites meeting PA &gt; 99.5%</v>
          </cell>
          <cell r="K785" t="str">
            <v>Achieve Average  PA &gt; 99.5% for every month staring August 2025 (refer to 'PA Glide Path' below)</v>
          </cell>
          <cell r="L785" t="str">
            <v xml:space="preserve">ODUNLAMI GABRIEL OLUSEYI </v>
          </cell>
        </row>
        <row r="786">
          <cell r="A786">
            <v>79</v>
          </cell>
          <cell r="B786" t="str">
            <v>FD00041</v>
          </cell>
          <cell r="C786" t="str">
            <v>AKINBOLA LAWRENCE</v>
          </cell>
          <cell r="D786" t="str">
            <v>Operations Manager</v>
          </cell>
          <cell r="E786" t="str">
            <v>Ensure average RMS sensors availability of 95% per month</v>
          </cell>
          <cell r="F786" t="str">
            <v>Ensure average RMS sensors availability of 95% per month</v>
          </cell>
          <cell r="G786">
            <v>0.15</v>
          </cell>
          <cell r="H786">
            <v>0.15</v>
          </cell>
          <cell r="I786">
            <v>0.95</v>
          </cell>
          <cell r="J786" t="str">
            <v>Ensure average RMS sensors availability of 95% per month</v>
          </cell>
          <cell r="K786" t="str">
            <v>Achieve Average  PA &gt; 99.5% for every month staring August 2025 (refer to 'PA Glide Path' below)</v>
          </cell>
          <cell r="L786" t="str">
            <v xml:space="preserve">ODUNLAMI GABRIEL OLUSEYI </v>
          </cell>
        </row>
        <row r="787">
          <cell r="A787">
            <v>79</v>
          </cell>
          <cell r="B787" t="str">
            <v>FD00041</v>
          </cell>
          <cell r="C787" t="str">
            <v>AKINBOLA LAWRENCE</v>
          </cell>
          <cell r="D787" t="str">
            <v>Operations Manager</v>
          </cell>
          <cell r="E787" t="str">
            <v>MS Vendor SLA - Ensure 95% compliance on PPM and janitorial</v>
          </cell>
          <cell r="F787" t="str">
            <v>MS Vendor SLA - Ensure 95% compliance on PPM and janitorial</v>
          </cell>
          <cell r="G787">
            <v>0.15</v>
          </cell>
          <cell r="H787">
            <v>0.15</v>
          </cell>
          <cell r="J787" t="str">
            <v>MS Vendor SLA - Ensure 95% compliance on PPM and janitorial</v>
          </cell>
          <cell r="L787" t="str">
            <v xml:space="preserve">ODUNLAMI GABRIEL OLUSEYI </v>
          </cell>
        </row>
        <row r="788">
          <cell r="A788">
            <v>80</v>
          </cell>
          <cell r="B788" t="str">
            <v>FD00042</v>
          </cell>
          <cell r="C788" t="str">
            <v>OSAJIE EIGBE COVENANT </v>
          </cell>
          <cell r="D788" t="str">
            <v>Operations Manager</v>
          </cell>
          <cell r="E788" t="str">
            <v>Ensure average fault per site of &lt; 2. 4 per month</v>
          </cell>
          <cell r="F788" t="str">
            <v>Ensure average fault per site of &lt; 2. 4 per month</v>
          </cell>
          <cell r="G788">
            <v>0.25</v>
          </cell>
          <cell r="H788">
            <v>0.25</v>
          </cell>
          <cell r="I788" t="str">
            <v>&lt;2.4</v>
          </cell>
          <cell r="J788" t="str">
            <v>Ensure average fault per site of &lt; 2. 4 per month</v>
          </cell>
          <cell r="K788" t="str">
            <v>Achieve Average  PA &gt; 99.5% for every month staring August 2025 (refer to 'PA Glide Path' below)</v>
          </cell>
          <cell r="L788" t="str">
            <v>EMMANUEL-OLADIMEJI OLAYINKA</v>
          </cell>
        </row>
        <row r="789">
          <cell r="A789">
            <v>80</v>
          </cell>
          <cell r="B789" t="str">
            <v>FD00042</v>
          </cell>
          <cell r="C789" t="str">
            <v>OSAJIE EIGBE COVENANT </v>
          </cell>
          <cell r="D789" t="str">
            <v>Operations Manager</v>
          </cell>
          <cell r="E789" t="str">
            <v>Ensure MTTR &lt;90minutes</v>
          </cell>
          <cell r="F789" t="str">
            <v>Ensure MTTR &lt;90minutes</v>
          </cell>
          <cell r="G789">
            <v>0.2</v>
          </cell>
          <cell r="H789">
            <v>0.2</v>
          </cell>
          <cell r="I789" t="str">
            <v>&lt;90min</v>
          </cell>
          <cell r="J789" t="str">
            <v>Ensure MTTR &lt;90minutes</v>
          </cell>
          <cell r="K789" t="str">
            <v>Achieve Average  PA &gt; 99.5% for every month staring August 2025 (refer to 'PA Glide Path' below)</v>
          </cell>
          <cell r="L789" t="str">
            <v>EMMANUEL-OLADIMEJI OLAYINKA</v>
          </cell>
        </row>
        <row r="790">
          <cell r="A790">
            <v>80</v>
          </cell>
          <cell r="B790" t="str">
            <v>FD00042</v>
          </cell>
          <cell r="C790" t="str">
            <v>OSAJIE EIGBE COVENANT </v>
          </cell>
          <cell r="D790" t="str">
            <v>Operations Manager</v>
          </cell>
          <cell r="E790" t="str">
            <v>65% and above sites meeting PA &gt; 99.5%</v>
          </cell>
          <cell r="F790" t="str">
            <v>65% and above sites meeting PA &gt; 99.5%</v>
          </cell>
          <cell r="G790">
            <v>0.25</v>
          </cell>
          <cell r="H790">
            <v>0.25</v>
          </cell>
          <cell r="I790">
            <v>0.65</v>
          </cell>
          <cell r="J790" t="str">
            <v>65% and above sites meeting PA &gt; 99.5%</v>
          </cell>
          <cell r="K790" t="str">
            <v>Achieve Average  PA &gt; 99.5% for every month staring August 2025 (refer to 'PA Glide Path' below)</v>
          </cell>
          <cell r="L790" t="str">
            <v>EMMANUEL-OLADIMEJI OLAYINKA</v>
          </cell>
        </row>
        <row r="791">
          <cell r="A791">
            <v>80</v>
          </cell>
          <cell r="B791" t="str">
            <v>FD00042</v>
          </cell>
          <cell r="C791" t="str">
            <v>OSAJIE EIGBE COVENANT </v>
          </cell>
          <cell r="D791" t="str">
            <v>Operations Manager</v>
          </cell>
          <cell r="E791" t="str">
            <v>Ensure average RMS sensors availability of 95% per month</v>
          </cell>
          <cell r="F791" t="str">
            <v>Ensure average RMS sensors availability of 95% per month</v>
          </cell>
          <cell r="G791">
            <v>0.15</v>
          </cell>
          <cell r="H791">
            <v>0.15</v>
          </cell>
          <cell r="I791">
            <v>0.95</v>
          </cell>
          <cell r="J791" t="str">
            <v>Ensure average RMS sensors availability of 95% per month</v>
          </cell>
          <cell r="K791" t="str">
            <v>Achieve Average  PA &gt; 99.5% for every month staring August 2025 (refer to 'PA Glide Path' below)</v>
          </cell>
          <cell r="L791" t="str">
            <v>EMMANUEL-OLADIMEJI OLAYINKA</v>
          </cell>
        </row>
        <row r="792">
          <cell r="A792">
            <v>80</v>
          </cell>
          <cell r="B792" t="str">
            <v>FD00042</v>
          </cell>
          <cell r="C792" t="str">
            <v>OSAJIE EIGBE COVENANT </v>
          </cell>
          <cell r="D792" t="str">
            <v>Operations Manager</v>
          </cell>
          <cell r="E792" t="str">
            <v>MS Vendor SLA - Ensure 95% compliance on PPM and janitorial</v>
          </cell>
          <cell r="F792" t="str">
            <v>MS Vendor SLA - Ensure 95% compliance on PPM and janitorial</v>
          </cell>
          <cell r="G792">
            <v>0.15</v>
          </cell>
          <cell r="H792">
            <v>0.15</v>
          </cell>
          <cell r="J792" t="str">
            <v>MS Vendor SLA - Ensure 95% compliance on PPM and janitorial</v>
          </cell>
          <cell r="L792" t="str">
            <v>EMMANUEL-OLADIMEJI OLAYINKA</v>
          </cell>
        </row>
        <row r="793">
          <cell r="A793">
            <v>81</v>
          </cell>
          <cell r="B793" t="str">
            <v>FD00043</v>
          </cell>
          <cell r="C793" t="str">
            <v>AKPOSUBI OVUODOROYE</v>
          </cell>
          <cell r="D793" t="str">
            <v>Operations Manager</v>
          </cell>
          <cell r="E793" t="str">
            <v>Ensure average fault per site of &lt; 2. 4 per month</v>
          </cell>
          <cell r="F793" t="str">
            <v>Ensure average fault per site of &lt; 2. 4 per month</v>
          </cell>
          <cell r="G793">
            <v>0.25</v>
          </cell>
          <cell r="H793">
            <v>0.25</v>
          </cell>
          <cell r="I793" t="str">
            <v>&lt;2.4</v>
          </cell>
          <cell r="J793" t="str">
            <v>Ensure average fault per site of &lt; 2. 4 per month</v>
          </cell>
          <cell r="K793" t="str">
            <v>Achieve Average  PA &gt; 99.5% for every month staring August 2025 (refer to 'PA Glide Path' below)</v>
          </cell>
          <cell r="L793" t="str">
            <v>NONSO CHIKANI</v>
          </cell>
        </row>
        <row r="794">
          <cell r="A794">
            <v>81</v>
          </cell>
          <cell r="B794" t="str">
            <v>FD00043</v>
          </cell>
          <cell r="C794" t="str">
            <v>AKPOSUBI OVUODOROYE</v>
          </cell>
          <cell r="D794" t="str">
            <v>Operations Manager</v>
          </cell>
          <cell r="E794" t="str">
            <v>Ensure MTTR &lt;90minutes</v>
          </cell>
          <cell r="F794" t="str">
            <v>Ensure MTTR &lt;90minutes</v>
          </cell>
          <cell r="G794">
            <v>0.2</v>
          </cell>
          <cell r="H794">
            <v>0.2</v>
          </cell>
          <cell r="I794" t="str">
            <v>&lt;90min</v>
          </cell>
          <cell r="J794" t="str">
            <v>Ensure MTTR &lt;90minutes</v>
          </cell>
          <cell r="K794" t="str">
            <v>Achieve Average  PA &gt; 99.5% for every month staring August 2025 (refer to 'PA Glide Path' below)</v>
          </cell>
          <cell r="L794" t="str">
            <v>NONSO CHIKANI</v>
          </cell>
        </row>
        <row r="795">
          <cell r="A795">
            <v>81</v>
          </cell>
          <cell r="B795" t="str">
            <v>FD00043</v>
          </cell>
          <cell r="C795" t="str">
            <v>AKPOSUBI OVUODOROYE</v>
          </cell>
          <cell r="D795" t="str">
            <v>Operations Manager</v>
          </cell>
          <cell r="E795" t="str">
            <v>65% and above sites meeting PA &gt; 99.5%</v>
          </cell>
          <cell r="F795" t="str">
            <v>65% and above sites meeting PA &gt; 99.5%</v>
          </cell>
          <cell r="G795">
            <v>0.25</v>
          </cell>
          <cell r="H795">
            <v>0.25</v>
          </cell>
          <cell r="I795">
            <v>0.65</v>
          </cell>
          <cell r="J795" t="str">
            <v>65% and above sites meeting PA &gt; 99.5%</v>
          </cell>
          <cell r="K795" t="str">
            <v>Achieve Average  PA &gt; 99.5% for every month staring August 2025 (refer to 'PA Glide Path' below)</v>
          </cell>
          <cell r="L795" t="str">
            <v>NONSO CHIKANI</v>
          </cell>
        </row>
        <row r="796">
          <cell r="A796">
            <v>81</v>
          </cell>
          <cell r="B796" t="str">
            <v>FD00043</v>
          </cell>
          <cell r="C796" t="str">
            <v>AKPOSUBI OVUODOROYE</v>
          </cell>
          <cell r="D796" t="str">
            <v>Operations Manager</v>
          </cell>
          <cell r="E796" t="str">
            <v>Ensure average RMS sensors availability of 95% per month</v>
          </cell>
          <cell r="F796" t="str">
            <v>Ensure average RMS sensors availability of 95% per month</v>
          </cell>
          <cell r="G796">
            <v>0.15</v>
          </cell>
          <cell r="H796">
            <v>0.15</v>
          </cell>
          <cell r="I796">
            <v>0.95</v>
          </cell>
          <cell r="J796" t="str">
            <v>Ensure average RMS sensors availability of 95% per month</v>
          </cell>
          <cell r="K796" t="str">
            <v>Achieve Average  PA &gt; 99.5% for every month staring August 2025 (refer to 'PA Glide Path' below)</v>
          </cell>
          <cell r="L796" t="str">
            <v>NONSO CHIKANI</v>
          </cell>
        </row>
        <row r="797">
          <cell r="A797">
            <v>81</v>
          </cell>
          <cell r="B797" t="str">
            <v>FD00043</v>
          </cell>
          <cell r="C797" t="str">
            <v>AKPOSUBI OVUODOROYE</v>
          </cell>
          <cell r="D797" t="str">
            <v>Operations Manager</v>
          </cell>
          <cell r="E797" t="str">
            <v>MS Vendor SLA - Ensure 95% compliance on PPM and janitorial</v>
          </cell>
          <cell r="F797" t="str">
            <v>MS Vendor SLA - Ensure 95% compliance on PPM and janitorial</v>
          </cell>
          <cell r="G797">
            <v>0.15</v>
          </cell>
          <cell r="H797">
            <v>0.15</v>
          </cell>
          <cell r="J797" t="str">
            <v>MS Vendor SLA - Ensure 95% compliance on PPM and janitorial</v>
          </cell>
          <cell r="L797" t="str">
            <v>NONSO CHIKANI</v>
          </cell>
        </row>
        <row r="798">
          <cell r="A798">
            <v>82</v>
          </cell>
          <cell r="B798" t="str">
            <v>FD00044</v>
          </cell>
          <cell r="C798" t="str">
            <v>IDONGESIT AKPAN </v>
          </cell>
          <cell r="D798" t="str">
            <v>Operations Manager</v>
          </cell>
          <cell r="E798" t="str">
            <v>Ensure average fault per site of &lt; 2. 4 per month</v>
          </cell>
          <cell r="F798" t="str">
            <v>Ensure average fault per site of &lt; 2. 4 per month</v>
          </cell>
          <cell r="G798">
            <v>0.25</v>
          </cell>
          <cell r="H798">
            <v>0.25</v>
          </cell>
          <cell r="I798" t="str">
            <v>&lt;2.4</v>
          </cell>
          <cell r="J798" t="str">
            <v>Ensure average fault per site of &lt; 2. 4 per month</v>
          </cell>
          <cell r="K798" t="str">
            <v>Achieve Average  PA &gt; 99.5% for every month staring August 2025 (refer to 'PA Glide Path' below)</v>
          </cell>
          <cell r="L798" t="str">
            <v>NONSO CHIKANI</v>
          </cell>
        </row>
        <row r="799">
          <cell r="A799">
            <v>82</v>
          </cell>
          <cell r="B799" t="str">
            <v>FD00044</v>
          </cell>
          <cell r="C799" t="str">
            <v>IDONGESIT AKPAN </v>
          </cell>
          <cell r="D799" t="str">
            <v>Operations Manager</v>
          </cell>
          <cell r="E799" t="str">
            <v>Ensure MTTR &lt;90minutes</v>
          </cell>
          <cell r="F799" t="str">
            <v>Ensure MTTR &lt;90minutes</v>
          </cell>
          <cell r="G799">
            <v>0.2</v>
          </cell>
          <cell r="H799">
            <v>0.2</v>
          </cell>
          <cell r="I799" t="str">
            <v>&lt;90min</v>
          </cell>
          <cell r="J799" t="str">
            <v>Ensure MTTR &lt;90minutes</v>
          </cell>
          <cell r="K799" t="str">
            <v>Achieve Average  PA &gt; 99.5% for every month staring August 2025 (refer to 'PA Glide Path' below)</v>
          </cell>
          <cell r="L799" t="str">
            <v>NONSO CHIKANI</v>
          </cell>
        </row>
        <row r="800">
          <cell r="A800">
            <v>82</v>
          </cell>
          <cell r="B800" t="str">
            <v>FD00044</v>
          </cell>
          <cell r="C800" t="str">
            <v>IDONGESIT AKPAN </v>
          </cell>
          <cell r="D800" t="str">
            <v>Operations Manager</v>
          </cell>
          <cell r="E800" t="str">
            <v>65% and above sites meeting PA &gt; 99.5%</v>
          </cell>
          <cell r="F800" t="str">
            <v>65% and above sites meeting PA &gt; 99.5%</v>
          </cell>
          <cell r="G800">
            <v>0.25</v>
          </cell>
          <cell r="H800">
            <v>0.25</v>
          </cell>
          <cell r="I800">
            <v>0.65</v>
          </cell>
          <cell r="J800" t="str">
            <v>65% and above sites meeting PA &gt; 99.5%</v>
          </cell>
          <cell r="K800" t="str">
            <v>Achieve Average  PA &gt; 99.5% for every month staring August 2025 (refer to 'PA Glide Path' below)</v>
          </cell>
          <cell r="L800" t="str">
            <v>NONSO CHIKANI</v>
          </cell>
        </row>
        <row r="801">
          <cell r="A801">
            <v>82</v>
          </cell>
          <cell r="B801" t="str">
            <v>FD00044</v>
          </cell>
          <cell r="C801" t="str">
            <v>IDONGESIT AKPAN </v>
          </cell>
          <cell r="D801" t="str">
            <v>Operations Manager</v>
          </cell>
          <cell r="E801" t="str">
            <v>Ensure average RMS sensors availability of 95% per month</v>
          </cell>
          <cell r="F801" t="str">
            <v>Ensure average RMS sensors availability of 95% per month</v>
          </cell>
          <cell r="G801">
            <v>0.15</v>
          </cell>
          <cell r="H801">
            <v>0.15</v>
          </cell>
          <cell r="I801">
            <v>0.95</v>
          </cell>
          <cell r="J801" t="str">
            <v>Ensure average RMS sensors availability of 95% per month</v>
          </cell>
          <cell r="K801" t="str">
            <v>Achieve Average  PA &gt; 99.5% for every month staring August 2025 (refer to 'PA Glide Path' below)</v>
          </cell>
          <cell r="L801" t="str">
            <v>NONSO CHIKANI</v>
          </cell>
        </row>
        <row r="802">
          <cell r="A802">
            <v>82</v>
          </cell>
          <cell r="B802" t="str">
            <v>FD00044</v>
          </cell>
          <cell r="C802" t="str">
            <v>IDONGESIT AKPAN </v>
          </cell>
          <cell r="D802" t="str">
            <v>Operations Manager</v>
          </cell>
          <cell r="E802" t="str">
            <v>MS Vendor SLA - Ensure 95% compliance on PPM and janitorial</v>
          </cell>
          <cell r="F802" t="str">
            <v>MS Vendor SLA - Ensure 95% compliance on PPM and janitorial</v>
          </cell>
          <cell r="G802">
            <v>0.15</v>
          </cell>
          <cell r="H802">
            <v>0.15</v>
          </cell>
          <cell r="J802" t="str">
            <v>MS Vendor SLA - Ensure 95% compliance on PPM and janitorial</v>
          </cell>
          <cell r="L802" t="str">
            <v>NONSO CHIKANI</v>
          </cell>
        </row>
        <row r="803">
          <cell r="A803">
            <v>83</v>
          </cell>
          <cell r="B803" t="str">
            <v>FD00046</v>
          </cell>
          <cell r="C803" t="str">
            <v>BARNABAS AKUHWA</v>
          </cell>
          <cell r="D803" t="str">
            <v>Operations Manager</v>
          </cell>
          <cell r="E803" t="str">
            <v>Ensure average fault per site of &lt; 2. 4 per month</v>
          </cell>
          <cell r="F803" t="str">
            <v>Ensure average fault per site of &lt; 2. 4 per month</v>
          </cell>
          <cell r="G803">
            <v>0.25</v>
          </cell>
          <cell r="H803">
            <v>0.25</v>
          </cell>
          <cell r="I803" t="str">
            <v>&lt;2.4</v>
          </cell>
          <cell r="J803" t="str">
            <v>Ensure average fault per site of &lt; 2. 4 per month</v>
          </cell>
          <cell r="K803" t="str">
            <v>Achieve Average  PA &gt; 99.5% for every month staring August 2025 (refer to 'PA Glide Path' below)</v>
          </cell>
          <cell r="L803" t="str">
            <v>SWAPNIL MAHADIK</v>
          </cell>
        </row>
        <row r="804">
          <cell r="A804">
            <v>83</v>
          </cell>
          <cell r="B804" t="str">
            <v>FD00046</v>
          </cell>
          <cell r="C804" t="str">
            <v>BARNABAS AKUHWA</v>
          </cell>
          <cell r="D804" t="str">
            <v>Operations Manager</v>
          </cell>
          <cell r="E804" t="str">
            <v>Ensure MTTR &lt;90minutes</v>
          </cell>
          <cell r="F804" t="str">
            <v>Ensure MTTR &lt;90minutes</v>
          </cell>
          <cell r="G804">
            <v>0.2</v>
          </cell>
          <cell r="H804">
            <v>0.2</v>
          </cell>
          <cell r="I804" t="str">
            <v>&lt;90min</v>
          </cell>
          <cell r="J804" t="str">
            <v>Ensure MTTR &lt;90minutes</v>
          </cell>
          <cell r="K804" t="str">
            <v>Achieve Average  PA &gt; 99.5% for every month staring August 2025 (refer to 'PA Glide Path' below)</v>
          </cell>
          <cell r="L804" t="str">
            <v>SWAPNIL MAHADIK</v>
          </cell>
        </row>
        <row r="805">
          <cell r="A805">
            <v>83</v>
          </cell>
          <cell r="B805" t="str">
            <v>FD00046</v>
          </cell>
          <cell r="C805" t="str">
            <v>BARNABAS AKUHWA</v>
          </cell>
          <cell r="D805" t="str">
            <v>Operations Manager</v>
          </cell>
          <cell r="E805" t="str">
            <v>65% and above sites meeting PA &gt; 99.5%</v>
          </cell>
          <cell r="F805" t="str">
            <v>65% and above sites meeting PA &gt; 99.5%</v>
          </cell>
          <cell r="G805">
            <v>0.25</v>
          </cell>
          <cell r="H805">
            <v>0.25</v>
          </cell>
          <cell r="I805">
            <v>0.65</v>
          </cell>
          <cell r="J805" t="str">
            <v>65% and above sites meeting PA &gt; 99.5%</v>
          </cell>
          <cell r="K805" t="str">
            <v>Achieve Average  PA &gt; 99.5% for every month staring August 2025 (refer to 'PA Glide Path' below)</v>
          </cell>
          <cell r="L805" t="str">
            <v>SWAPNIL MAHADIK</v>
          </cell>
        </row>
        <row r="806">
          <cell r="A806">
            <v>83</v>
          </cell>
          <cell r="B806" t="str">
            <v>FD00046</v>
          </cell>
          <cell r="C806" t="str">
            <v>BARNABAS AKUHWA</v>
          </cell>
          <cell r="D806" t="str">
            <v>Operations Manager</v>
          </cell>
          <cell r="E806" t="str">
            <v>Ensure average RMS sensors availability of 95% per month</v>
          </cell>
          <cell r="F806" t="str">
            <v>Ensure average RMS sensors availability of 95% per month</v>
          </cell>
          <cell r="G806">
            <v>0.15</v>
          </cell>
          <cell r="H806">
            <v>0.15</v>
          </cell>
          <cell r="I806">
            <v>0.95</v>
          </cell>
          <cell r="J806" t="str">
            <v>Ensure average RMS sensors availability of 95% per month</v>
          </cell>
          <cell r="K806" t="str">
            <v>Achieve Average  PA &gt; 99.5% for every month staring August 2025 (refer to 'PA Glide Path' below)</v>
          </cell>
          <cell r="L806" t="str">
            <v>SWAPNIL MAHADIK</v>
          </cell>
        </row>
        <row r="807">
          <cell r="A807">
            <v>83</v>
          </cell>
          <cell r="B807" t="str">
            <v>FD00046</v>
          </cell>
          <cell r="C807" t="str">
            <v>BARNABAS AKUHWA</v>
          </cell>
          <cell r="D807" t="str">
            <v>Operations Manager</v>
          </cell>
          <cell r="E807" t="str">
            <v>MS Vendor SLA - Ensure 95% compliance on PPM and janitorial</v>
          </cell>
          <cell r="F807" t="str">
            <v>MS Vendor SLA - Ensure 95% compliance on PPM and janitorial</v>
          </cell>
          <cell r="G807">
            <v>0.15</v>
          </cell>
          <cell r="H807">
            <v>0.15</v>
          </cell>
          <cell r="J807" t="str">
            <v>MS Vendor SLA - Ensure 95% compliance on PPM and janitorial</v>
          </cell>
          <cell r="L807" t="str">
            <v>SWAPNIL MAHADIK</v>
          </cell>
        </row>
        <row r="808">
          <cell r="A808">
            <v>84</v>
          </cell>
          <cell r="B808" t="str">
            <v>FD00047</v>
          </cell>
          <cell r="C808" t="str">
            <v>BABATUNDE AYENI</v>
          </cell>
          <cell r="D808" t="str">
            <v>Operations Manager</v>
          </cell>
          <cell r="E808" t="str">
            <v>Ensure average fault per site of &lt; 2. 4 per month</v>
          </cell>
          <cell r="F808" t="str">
            <v>Ensure average fault per site of &lt; 2. 4 per month</v>
          </cell>
          <cell r="G808">
            <v>0.25</v>
          </cell>
          <cell r="H808">
            <v>0.25</v>
          </cell>
          <cell r="I808" t="str">
            <v>&lt;2.4</v>
          </cell>
          <cell r="J808" t="str">
            <v>Ensure average fault per site of &lt; 2. 4 per month</v>
          </cell>
          <cell r="K808" t="str">
            <v>Achieve Average  PA &gt; 99.5% for every month staring August 2025 (refer to 'PA Glide Path' below)</v>
          </cell>
          <cell r="L808" t="str">
            <v>FEMI PHILLIPS OLADIPUPO</v>
          </cell>
        </row>
        <row r="809">
          <cell r="A809">
            <v>84</v>
          </cell>
          <cell r="B809" t="str">
            <v>FD00047</v>
          </cell>
          <cell r="C809" t="str">
            <v>BABATUNDE AYENI</v>
          </cell>
          <cell r="D809" t="str">
            <v>Operations Manager</v>
          </cell>
          <cell r="E809" t="str">
            <v>Ensure MTTR &lt;90minutes</v>
          </cell>
          <cell r="F809" t="str">
            <v>Ensure MTTR &lt;90minutes</v>
          </cell>
          <cell r="G809">
            <v>0.2</v>
          </cell>
          <cell r="H809">
            <v>0.2</v>
          </cell>
          <cell r="I809" t="str">
            <v>&lt;90min</v>
          </cell>
          <cell r="J809" t="str">
            <v>Ensure MTTR &lt;90minutes</v>
          </cell>
          <cell r="K809" t="str">
            <v>Achieve Average  PA &gt; 99.5% for every month staring August 2025 (refer to 'PA Glide Path' below)</v>
          </cell>
          <cell r="L809" t="str">
            <v>FEMI PHILLIPS OLADIPUPO</v>
          </cell>
        </row>
        <row r="810">
          <cell r="A810">
            <v>84</v>
          </cell>
          <cell r="B810" t="str">
            <v>FD00047</v>
          </cell>
          <cell r="C810" t="str">
            <v>BABATUNDE AYENI</v>
          </cell>
          <cell r="D810" t="str">
            <v>Operations Manager</v>
          </cell>
          <cell r="E810" t="str">
            <v>65% and above sites meeting PA &gt; 99.5%</v>
          </cell>
          <cell r="F810" t="str">
            <v>65% and above sites meeting PA &gt; 99.5%</v>
          </cell>
          <cell r="G810">
            <v>0.25</v>
          </cell>
          <cell r="H810">
            <v>0.25</v>
          </cell>
          <cell r="I810">
            <v>0.65</v>
          </cell>
          <cell r="J810" t="str">
            <v>65% and above sites meeting PA &gt; 99.5%</v>
          </cell>
          <cell r="K810" t="str">
            <v>Achieve Average  PA &gt; 99.5% for every month staring August 2025 (refer to 'PA Glide Path' below)</v>
          </cell>
          <cell r="L810" t="str">
            <v>FEMI PHILLIPS OLADIPUPO</v>
          </cell>
        </row>
        <row r="811">
          <cell r="A811">
            <v>84</v>
          </cell>
          <cell r="B811" t="str">
            <v>FD00047</v>
          </cell>
          <cell r="C811" t="str">
            <v>BABATUNDE AYENI</v>
          </cell>
          <cell r="D811" t="str">
            <v>Operations Manager</v>
          </cell>
          <cell r="E811" t="str">
            <v>Ensure average RMS sensors availability of 95% per month</v>
          </cell>
          <cell r="F811" t="str">
            <v>Ensure average RMS sensors availability of 95% per month</v>
          </cell>
          <cell r="G811">
            <v>0.15</v>
          </cell>
          <cell r="H811">
            <v>0.15</v>
          </cell>
          <cell r="I811">
            <v>0.95</v>
          </cell>
          <cell r="J811" t="str">
            <v>Ensure average RMS sensors availability of 95% per month</v>
          </cell>
          <cell r="K811" t="str">
            <v>Achieve Average  PA &gt; 99.5% for every month staring August 2025 (refer to 'PA Glide Path' below)</v>
          </cell>
          <cell r="L811" t="str">
            <v>FEMI PHILLIPS OLADIPUPO</v>
          </cell>
        </row>
        <row r="812">
          <cell r="A812">
            <v>84</v>
          </cell>
          <cell r="B812" t="str">
            <v>FD00047</v>
          </cell>
          <cell r="C812" t="str">
            <v>BABATUNDE AYENI</v>
          </cell>
          <cell r="D812" t="str">
            <v>Operations Manager</v>
          </cell>
          <cell r="E812" t="str">
            <v>MS Vendor SLA - Ensure 95% compliance on PPM and janitorial</v>
          </cell>
          <cell r="F812" t="str">
            <v>MS Vendor SLA - Ensure 95% compliance on PPM and janitorial</v>
          </cell>
          <cell r="G812">
            <v>0.15</v>
          </cell>
          <cell r="H812">
            <v>0.15</v>
          </cell>
          <cell r="J812" t="str">
            <v>MS Vendor SLA - Ensure 95% compliance on PPM and janitorial</v>
          </cell>
          <cell r="L812" t="str">
            <v>FEMI PHILLIPS OLADIPUPO</v>
          </cell>
        </row>
        <row r="813">
          <cell r="A813">
            <v>85</v>
          </cell>
          <cell r="B813" t="str">
            <v>FD00048</v>
          </cell>
          <cell r="C813" t="str">
            <v>ADEDOKUN EBENEZER</v>
          </cell>
          <cell r="D813" t="str">
            <v>Operations Manager</v>
          </cell>
          <cell r="E813" t="str">
            <v>Ensure average fault per site of &lt; 2. 4 per month</v>
          </cell>
          <cell r="F813" t="str">
            <v>Ensure average fault per site of &lt; 2. 4 per month</v>
          </cell>
          <cell r="G813">
            <v>0.25</v>
          </cell>
          <cell r="H813">
            <v>0.25</v>
          </cell>
          <cell r="I813" t="str">
            <v>&lt;2.4</v>
          </cell>
          <cell r="J813" t="str">
            <v>Ensure average fault per site of &lt; 2. 4 per month</v>
          </cell>
          <cell r="K813" t="str">
            <v>Achieve Average  PA &gt; 99.5% for every month staring August 2025 (refer to 'PA Glide Path' below)</v>
          </cell>
          <cell r="L813" t="str">
            <v>FEMI PHILLIPS OLADIPUPO</v>
          </cell>
        </row>
        <row r="814">
          <cell r="A814">
            <v>85</v>
          </cell>
          <cell r="B814" t="str">
            <v>FD00048</v>
          </cell>
          <cell r="C814" t="str">
            <v>ADEDOKUN EBENEZER</v>
          </cell>
          <cell r="D814" t="str">
            <v>Operations Manager</v>
          </cell>
          <cell r="E814" t="str">
            <v>Ensure MTTR &lt;90minutes</v>
          </cell>
          <cell r="F814" t="str">
            <v>Ensure MTTR &lt;90minutes</v>
          </cell>
          <cell r="G814">
            <v>0.2</v>
          </cell>
          <cell r="H814">
            <v>0.2</v>
          </cell>
          <cell r="I814" t="str">
            <v>&lt;90min</v>
          </cell>
          <cell r="J814" t="str">
            <v>Ensure MTTR &lt;90minutes</v>
          </cell>
          <cell r="K814" t="str">
            <v>Achieve Average  PA &gt; 99.5% for every month staring August 2025 (refer to 'PA Glide Path' below)</v>
          </cell>
          <cell r="L814" t="str">
            <v>FEMI PHILLIPS OLADIPUPO</v>
          </cell>
        </row>
        <row r="815">
          <cell r="A815">
            <v>85</v>
          </cell>
          <cell r="B815" t="str">
            <v>FD00048</v>
          </cell>
          <cell r="C815" t="str">
            <v>ADEDOKUN EBENEZER</v>
          </cell>
          <cell r="D815" t="str">
            <v>Operations Manager</v>
          </cell>
          <cell r="E815" t="str">
            <v>65% and above sites meeting PA &gt; 99.5%</v>
          </cell>
          <cell r="F815" t="str">
            <v>65% and above sites meeting PA &gt; 99.5%</v>
          </cell>
          <cell r="G815">
            <v>0.25</v>
          </cell>
          <cell r="H815">
            <v>0.25</v>
          </cell>
          <cell r="I815">
            <v>0.65</v>
          </cell>
          <cell r="J815" t="str">
            <v>65% and above sites meeting PA &gt; 99.5%</v>
          </cell>
          <cell r="K815" t="str">
            <v>Achieve Average  PA &gt; 99.5% for every month staring August 2025 (refer to 'PA Glide Path' below)</v>
          </cell>
          <cell r="L815" t="str">
            <v>FEMI PHILLIPS OLADIPUPO</v>
          </cell>
        </row>
        <row r="816">
          <cell r="A816">
            <v>85</v>
          </cell>
          <cell r="B816" t="str">
            <v>FD00048</v>
          </cell>
          <cell r="C816" t="str">
            <v>ADEDOKUN EBENEZER</v>
          </cell>
          <cell r="D816" t="str">
            <v>Operations Manager</v>
          </cell>
          <cell r="E816" t="str">
            <v>Ensure average RMS sensors availability of 95% per month</v>
          </cell>
          <cell r="F816" t="str">
            <v>Ensure average RMS sensors availability of 95% per month</v>
          </cell>
          <cell r="G816">
            <v>0.15</v>
          </cell>
          <cell r="H816">
            <v>0.15</v>
          </cell>
          <cell r="I816">
            <v>0.95</v>
          </cell>
          <cell r="J816" t="str">
            <v>Ensure average RMS sensors availability of 95% per month</v>
          </cell>
          <cell r="K816" t="str">
            <v>Achieve Average  PA &gt; 99.5% for every month staring August 2025 (refer to 'PA Glide Path' below)</v>
          </cell>
          <cell r="L816" t="str">
            <v>FEMI PHILLIPS OLADIPUPO</v>
          </cell>
        </row>
        <row r="817">
          <cell r="A817">
            <v>85</v>
          </cell>
          <cell r="B817" t="str">
            <v>FD00048</v>
          </cell>
          <cell r="C817" t="str">
            <v>ADEDOKUN EBENEZER</v>
          </cell>
          <cell r="D817" t="str">
            <v>Operations Manager</v>
          </cell>
          <cell r="E817" t="str">
            <v>MS Vendor SLA - Ensure 95% compliance on PPM and janitorial</v>
          </cell>
          <cell r="F817" t="str">
            <v>MS Vendor SLA - Ensure 95% compliance on PPM and janitorial</v>
          </cell>
          <cell r="G817">
            <v>0.15</v>
          </cell>
          <cell r="H817">
            <v>0.15</v>
          </cell>
          <cell r="J817" t="str">
            <v>MS Vendor SLA - Ensure 95% compliance on PPM and janitorial</v>
          </cell>
          <cell r="L817" t="str">
            <v>FEMI PHILLIPS OLADIPUPO</v>
          </cell>
        </row>
        <row r="818">
          <cell r="A818">
            <v>86</v>
          </cell>
          <cell r="B818" t="str">
            <v>FD00049</v>
          </cell>
          <cell r="C818" t="str">
            <v>OLADEJO OLAJIDE</v>
          </cell>
          <cell r="D818" t="str">
            <v>Operations Manager</v>
          </cell>
          <cell r="E818" t="str">
            <v>Ensure average fault per site of &lt; 2. 4 per month</v>
          </cell>
          <cell r="F818" t="str">
            <v>Ensure average fault per site of &lt; 2. 4 per month</v>
          </cell>
          <cell r="G818">
            <v>0.25</v>
          </cell>
          <cell r="H818">
            <v>0.25</v>
          </cell>
          <cell r="I818" t="str">
            <v>&lt;2.4</v>
          </cell>
          <cell r="J818" t="str">
            <v>Ensure average fault per site of &lt; 2. 4 per month</v>
          </cell>
          <cell r="K818" t="str">
            <v>Achieve Average  PA &gt; 99.5% for every month staring August 2025 (refer to 'PA Glide Path' below)</v>
          </cell>
          <cell r="L818" t="str">
            <v>EMMANUEL-OLADIMEJI OLAYINKA</v>
          </cell>
        </row>
        <row r="819">
          <cell r="A819">
            <v>86</v>
          </cell>
          <cell r="B819" t="str">
            <v>FD00049</v>
          </cell>
          <cell r="C819" t="str">
            <v>OLADEJO OLAJIDE</v>
          </cell>
          <cell r="D819" t="str">
            <v>Operations Manager</v>
          </cell>
          <cell r="E819" t="str">
            <v>Ensure MTTR &lt;90minutes</v>
          </cell>
          <cell r="F819" t="str">
            <v>Ensure MTTR &lt;90minutes</v>
          </cell>
          <cell r="G819">
            <v>0.2</v>
          </cell>
          <cell r="H819">
            <v>0.2</v>
          </cell>
          <cell r="I819" t="str">
            <v>&lt;90min</v>
          </cell>
          <cell r="J819" t="str">
            <v>Ensure MTTR &lt;90minutes</v>
          </cell>
          <cell r="K819" t="str">
            <v>Achieve Average  PA &gt; 99.5% for every month staring August 2025 (refer to 'PA Glide Path' below)</v>
          </cell>
          <cell r="L819" t="str">
            <v>EMMANUEL-OLADIMEJI OLAYINKA</v>
          </cell>
        </row>
        <row r="820">
          <cell r="A820">
            <v>86</v>
          </cell>
          <cell r="B820" t="str">
            <v>FD00049</v>
          </cell>
          <cell r="C820" t="str">
            <v>OLADEJO OLAJIDE</v>
          </cell>
          <cell r="D820" t="str">
            <v>Operations Manager</v>
          </cell>
          <cell r="E820" t="str">
            <v>65% and above sites meeting PA &gt; 99.5%</v>
          </cell>
          <cell r="F820" t="str">
            <v>65% and above sites meeting PA &gt; 99.5%</v>
          </cell>
          <cell r="G820">
            <v>0.25</v>
          </cell>
          <cell r="H820">
            <v>0.25</v>
          </cell>
          <cell r="I820">
            <v>0.65</v>
          </cell>
          <cell r="J820" t="str">
            <v>65% and above sites meeting PA &gt; 99.5%</v>
          </cell>
          <cell r="K820" t="str">
            <v>Achieve Average  PA &gt; 99.5% for every month staring August 2025 (refer to 'PA Glide Path' below)</v>
          </cell>
          <cell r="L820" t="str">
            <v>EMMANUEL-OLADIMEJI OLAYINKA</v>
          </cell>
        </row>
        <row r="821">
          <cell r="A821">
            <v>86</v>
          </cell>
          <cell r="B821" t="str">
            <v>FD00049</v>
          </cell>
          <cell r="C821" t="str">
            <v>OLADEJO OLAJIDE</v>
          </cell>
          <cell r="D821" t="str">
            <v>Operations Manager</v>
          </cell>
          <cell r="E821" t="str">
            <v>Ensure average RMS sensors availability of 95% per month</v>
          </cell>
          <cell r="F821" t="str">
            <v>Ensure average RMS sensors availability of 95% per month</v>
          </cell>
          <cell r="G821">
            <v>0.15</v>
          </cell>
          <cell r="H821">
            <v>0.15</v>
          </cell>
          <cell r="I821">
            <v>0.95</v>
          </cell>
          <cell r="J821" t="str">
            <v>Ensure average RMS sensors availability of 95% per month</v>
          </cell>
          <cell r="K821" t="str">
            <v>Achieve Average  PA &gt; 99.5% for every month staring August 2025 (refer to 'PA Glide Path' below)</v>
          </cell>
          <cell r="L821" t="str">
            <v>EMMANUEL-OLADIMEJI OLAYINKA</v>
          </cell>
        </row>
        <row r="822">
          <cell r="A822">
            <v>86</v>
          </cell>
          <cell r="B822" t="str">
            <v>FD00049</v>
          </cell>
          <cell r="C822" t="str">
            <v>OLADEJO OLAJIDE</v>
          </cell>
          <cell r="D822" t="str">
            <v>Operations Manager</v>
          </cell>
          <cell r="E822" t="str">
            <v>MS Vendor SLA - Ensure 95% compliance on PPM and janitorial</v>
          </cell>
          <cell r="F822" t="str">
            <v>MS Vendor SLA - Ensure 95% compliance on PPM and janitorial</v>
          </cell>
          <cell r="G822">
            <v>0.15</v>
          </cell>
          <cell r="H822">
            <v>0.15</v>
          </cell>
          <cell r="J822" t="str">
            <v>MS Vendor SLA - Ensure 95% compliance on PPM and janitorial</v>
          </cell>
          <cell r="L822" t="str">
            <v>EMMANUEL-OLADIMEJI OLAYINKA</v>
          </cell>
        </row>
        <row r="823">
          <cell r="A823">
            <v>87</v>
          </cell>
          <cell r="B823" t="str">
            <v>FD00050</v>
          </cell>
          <cell r="C823" t="str">
            <v>EMMANUEL MADUEKE</v>
          </cell>
          <cell r="D823" t="str">
            <v>Operations Manager</v>
          </cell>
          <cell r="E823" t="str">
            <v>Ensure average fault per site of &lt; 2. 4 per month</v>
          </cell>
          <cell r="F823" t="str">
            <v>Ensure average fault per site of &lt; 2. 4 per month</v>
          </cell>
          <cell r="G823">
            <v>0.25</v>
          </cell>
          <cell r="H823">
            <v>0.25</v>
          </cell>
          <cell r="I823" t="str">
            <v>&lt;2.4</v>
          </cell>
          <cell r="J823" t="str">
            <v>Ensure average fault per site of &lt; 2. 4 per month</v>
          </cell>
          <cell r="K823" t="str">
            <v>Achieve Average  PA &gt; 99.5% for every month staring August 2025 (refer to 'PA Glide Path' below)</v>
          </cell>
          <cell r="L823" t="str">
            <v>EMMANUEL EZE</v>
          </cell>
        </row>
        <row r="824">
          <cell r="A824">
            <v>87</v>
          </cell>
          <cell r="B824" t="str">
            <v>FD00050</v>
          </cell>
          <cell r="C824" t="str">
            <v>EMMANUEL MADUEKE</v>
          </cell>
          <cell r="D824" t="str">
            <v>Operations Manager</v>
          </cell>
          <cell r="E824" t="str">
            <v>Ensure MTTR &lt;90minutes</v>
          </cell>
          <cell r="F824" t="str">
            <v>Ensure MTTR &lt;90minutes</v>
          </cell>
          <cell r="G824">
            <v>0.2</v>
          </cell>
          <cell r="H824">
            <v>0.2</v>
          </cell>
          <cell r="I824" t="str">
            <v>&lt;90min</v>
          </cell>
          <cell r="J824" t="str">
            <v>Ensure MTTR &lt;90minutes</v>
          </cell>
          <cell r="K824" t="str">
            <v>Achieve Average  PA &gt; 99.5% for every month staring August 2025 (refer to 'PA Glide Path' below)</v>
          </cell>
          <cell r="L824" t="str">
            <v>EMMANUEL EZE</v>
          </cell>
        </row>
        <row r="825">
          <cell r="A825">
            <v>87</v>
          </cell>
          <cell r="B825" t="str">
            <v>FD00050</v>
          </cell>
          <cell r="C825" t="str">
            <v>EMMANUEL MADUEKE</v>
          </cell>
          <cell r="D825" t="str">
            <v>Operations Manager</v>
          </cell>
          <cell r="E825" t="str">
            <v>65% and above sites meeting PA &gt; 99.5%</v>
          </cell>
          <cell r="F825" t="str">
            <v>65% and above sites meeting PA &gt; 99.5%</v>
          </cell>
          <cell r="G825">
            <v>0.25</v>
          </cell>
          <cell r="H825">
            <v>0.25</v>
          </cell>
          <cell r="I825">
            <v>0.65</v>
          </cell>
          <cell r="J825" t="str">
            <v>65% and above sites meeting PA &gt; 99.5%</v>
          </cell>
          <cell r="K825" t="str">
            <v>Achieve Average  PA &gt; 99.5% for every month staring August 2025 (refer to 'PA Glide Path' below)</v>
          </cell>
          <cell r="L825" t="str">
            <v>EMMANUEL EZE</v>
          </cell>
        </row>
        <row r="826">
          <cell r="A826">
            <v>87</v>
          </cell>
          <cell r="B826" t="str">
            <v>FD00050</v>
          </cell>
          <cell r="C826" t="str">
            <v>EMMANUEL MADUEKE</v>
          </cell>
          <cell r="D826" t="str">
            <v>Operations Manager</v>
          </cell>
          <cell r="E826" t="str">
            <v>Ensure average RMS sensors availability of 95% per month</v>
          </cell>
          <cell r="F826" t="str">
            <v>Ensure average RMS sensors availability of 95% per month</v>
          </cell>
          <cell r="G826">
            <v>0.15</v>
          </cell>
          <cell r="H826">
            <v>0.15</v>
          </cell>
          <cell r="I826">
            <v>0.95</v>
          </cell>
          <cell r="J826" t="str">
            <v>Ensure average RMS sensors availability of 95% per month</v>
          </cell>
          <cell r="K826" t="str">
            <v>Achieve Average  PA &gt; 99.5% for every month staring August 2025 (refer to 'PA Glide Path' below)</v>
          </cell>
          <cell r="L826" t="str">
            <v>EMMANUEL EZE</v>
          </cell>
        </row>
        <row r="827">
          <cell r="A827">
            <v>87</v>
          </cell>
          <cell r="B827" t="str">
            <v>FD00050</v>
          </cell>
          <cell r="C827" t="str">
            <v>EMMANUEL MADUEKE</v>
          </cell>
          <cell r="D827" t="str">
            <v>Operations Manager</v>
          </cell>
          <cell r="E827" t="str">
            <v>MS Vendor SLA - Ensure 95% compliance on PPM and janitorial</v>
          </cell>
          <cell r="F827" t="str">
            <v>MS Vendor SLA - Ensure 95% compliance on PPM and janitorial</v>
          </cell>
          <cell r="G827">
            <v>0.15</v>
          </cell>
          <cell r="H827">
            <v>0.15</v>
          </cell>
          <cell r="J827" t="str">
            <v>MS Vendor SLA - Ensure 95% compliance on PPM and janitorial</v>
          </cell>
          <cell r="L827" t="str">
            <v>EMMANUEL EZE</v>
          </cell>
        </row>
        <row r="828">
          <cell r="A828">
            <v>88</v>
          </cell>
          <cell r="B828" t="str">
            <v>FD00051</v>
          </cell>
          <cell r="C828" t="str">
            <v>OREOLUWA TUNDE</v>
          </cell>
          <cell r="D828" t="str">
            <v>Operations Manager</v>
          </cell>
          <cell r="E828" t="str">
            <v>Ensure average fault per site of &lt; 2. 4 per month</v>
          </cell>
          <cell r="F828" t="str">
            <v>Ensure average fault per site of &lt; 2. 4 per month</v>
          </cell>
          <cell r="G828">
            <v>0.25</v>
          </cell>
          <cell r="H828">
            <v>0.25</v>
          </cell>
          <cell r="I828" t="str">
            <v>&lt;2.4</v>
          </cell>
          <cell r="J828" t="str">
            <v>Ensure average fault per site of &lt; 2. 4 per month</v>
          </cell>
          <cell r="K828" t="str">
            <v>Achieve Average  PA &gt; 99.5% for every month staring August 2025 (refer to 'PA Glide Path' below)</v>
          </cell>
          <cell r="L828" t="str">
            <v>EMMANUEL-OLADIMEJI OLAYINKA</v>
          </cell>
        </row>
        <row r="829">
          <cell r="A829">
            <v>88</v>
          </cell>
          <cell r="B829" t="str">
            <v>FD00051</v>
          </cell>
          <cell r="C829" t="str">
            <v>OREOLUWA TUNDE</v>
          </cell>
          <cell r="D829" t="str">
            <v>Operations Manager</v>
          </cell>
          <cell r="E829" t="str">
            <v>Ensure MTTR &lt;90minutes</v>
          </cell>
          <cell r="F829" t="str">
            <v>Ensure MTTR &lt;90minutes</v>
          </cell>
          <cell r="G829">
            <v>0.2</v>
          </cell>
          <cell r="H829">
            <v>0.2</v>
          </cell>
          <cell r="I829" t="str">
            <v>&lt;90min</v>
          </cell>
          <cell r="J829" t="str">
            <v>Ensure MTTR &lt;90minutes</v>
          </cell>
          <cell r="K829" t="str">
            <v>Achieve Average  PA &gt; 99.5% for every month staring August 2025 (refer to 'PA Glide Path' below)</v>
          </cell>
          <cell r="L829" t="str">
            <v>EMMANUEL-OLADIMEJI OLAYINKA</v>
          </cell>
        </row>
        <row r="830">
          <cell r="A830">
            <v>88</v>
          </cell>
          <cell r="B830" t="str">
            <v>FD00051</v>
          </cell>
          <cell r="C830" t="str">
            <v>OREOLUWA TUNDE</v>
          </cell>
          <cell r="D830" t="str">
            <v>Operations Manager</v>
          </cell>
          <cell r="E830" t="str">
            <v>65% and above sites meeting PA &gt; 99.5%</v>
          </cell>
          <cell r="F830" t="str">
            <v>65% and above sites meeting PA &gt; 99.5%</v>
          </cell>
          <cell r="G830">
            <v>0.25</v>
          </cell>
          <cell r="H830">
            <v>0.25</v>
          </cell>
          <cell r="I830">
            <v>0.65</v>
          </cell>
          <cell r="J830" t="str">
            <v>65% and above sites meeting PA &gt; 99.5%</v>
          </cell>
          <cell r="K830" t="str">
            <v>Achieve Average  PA &gt; 99.5% for every month staring August 2025 (refer to 'PA Glide Path' below)</v>
          </cell>
          <cell r="L830" t="str">
            <v>EMMANUEL-OLADIMEJI OLAYINKA</v>
          </cell>
        </row>
        <row r="831">
          <cell r="A831">
            <v>88</v>
          </cell>
          <cell r="B831" t="str">
            <v>FD00051</v>
          </cell>
          <cell r="C831" t="str">
            <v>OREOLUWA TUNDE</v>
          </cell>
          <cell r="D831" t="str">
            <v>Operations Manager</v>
          </cell>
          <cell r="E831" t="str">
            <v>Ensure average RMS sensors availability of 95% per month</v>
          </cell>
          <cell r="F831" t="str">
            <v>Ensure average RMS sensors availability of 95% per month</v>
          </cell>
          <cell r="G831">
            <v>0.15</v>
          </cell>
          <cell r="H831">
            <v>0.15</v>
          </cell>
          <cell r="I831">
            <v>0.95</v>
          </cell>
          <cell r="J831" t="str">
            <v>Ensure average RMS sensors availability of 95% per month</v>
          </cell>
          <cell r="K831" t="str">
            <v>Achieve Average  PA &gt; 99.5% for every month staring August 2025 (refer to 'PA Glide Path' below)</v>
          </cell>
          <cell r="L831" t="str">
            <v>EMMANUEL-OLADIMEJI OLAYINKA</v>
          </cell>
        </row>
        <row r="832">
          <cell r="A832">
            <v>88</v>
          </cell>
          <cell r="B832" t="str">
            <v>FD00051</v>
          </cell>
          <cell r="C832" t="str">
            <v>OREOLUWA TUNDE</v>
          </cell>
          <cell r="D832" t="str">
            <v>Operations Manager</v>
          </cell>
          <cell r="E832" t="str">
            <v>MS Vendor SLA - Ensure 95% compliance on PPM and janitorial</v>
          </cell>
          <cell r="F832" t="str">
            <v>MS Vendor SLA - Ensure 95% compliance on PPM and janitorial</v>
          </cell>
          <cell r="G832">
            <v>0.15</v>
          </cell>
          <cell r="H832">
            <v>0.15</v>
          </cell>
          <cell r="J832" t="str">
            <v>MS Vendor SLA - Ensure 95% compliance on PPM and janitorial</v>
          </cell>
          <cell r="L832" t="str">
            <v>EMMANUEL-OLADIMEJI OLAYINKA</v>
          </cell>
        </row>
        <row r="833">
          <cell r="A833">
            <v>89</v>
          </cell>
          <cell r="B833" t="str">
            <v>FD00052</v>
          </cell>
          <cell r="C833" t="str">
            <v>KINGSLEY OHAKWE</v>
          </cell>
          <cell r="D833" t="str">
            <v>Operations Manager</v>
          </cell>
          <cell r="E833" t="str">
            <v>Ensure average fault per site of &lt; 2. 4 per month</v>
          </cell>
          <cell r="F833" t="str">
            <v>Ensure average fault per site of &lt; 2. 4 per month</v>
          </cell>
          <cell r="G833">
            <v>0.25</v>
          </cell>
          <cell r="H833">
            <v>0.25</v>
          </cell>
          <cell r="I833" t="str">
            <v>&lt;2.4</v>
          </cell>
          <cell r="J833" t="str">
            <v>Ensure average fault per site of &lt; 2. 4 per month</v>
          </cell>
          <cell r="K833" t="str">
            <v>Achieve Average  PA &gt; 99.5% for every month staring August 2025 (refer to 'PA Glide Path' below)</v>
          </cell>
          <cell r="L833" t="str">
            <v>EMMANUEL EZE</v>
          </cell>
        </row>
        <row r="834">
          <cell r="A834">
            <v>89</v>
          </cell>
          <cell r="B834" t="str">
            <v>FD00052</v>
          </cell>
          <cell r="C834" t="str">
            <v>KINGSLEY OHAKWE</v>
          </cell>
          <cell r="D834" t="str">
            <v>Operations Manager</v>
          </cell>
          <cell r="E834" t="str">
            <v>Ensure MTTR &lt;90minutes</v>
          </cell>
          <cell r="F834" t="str">
            <v>Ensure MTTR &lt;90minutes</v>
          </cell>
          <cell r="G834">
            <v>0.2</v>
          </cell>
          <cell r="H834">
            <v>0.2</v>
          </cell>
          <cell r="I834" t="str">
            <v>&lt;90min</v>
          </cell>
          <cell r="J834" t="str">
            <v>Ensure MTTR &lt;90minutes</v>
          </cell>
          <cell r="K834" t="str">
            <v>Achieve Average  PA &gt; 99.5% for every month staring August 2025 (refer to 'PA Glide Path' below)</v>
          </cell>
          <cell r="L834" t="str">
            <v>EMMANUEL EZE</v>
          </cell>
        </row>
        <row r="835">
          <cell r="A835">
            <v>89</v>
          </cell>
          <cell r="B835" t="str">
            <v>FD00052</v>
          </cell>
          <cell r="C835" t="str">
            <v>KINGSLEY OHAKWE</v>
          </cell>
          <cell r="D835" t="str">
            <v>Operations Manager</v>
          </cell>
          <cell r="E835" t="str">
            <v>65% and above sites meeting PA &gt; 99.5%</v>
          </cell>
          <cell r="F835" t="str">
            <v>65% and above sites meeting PA &gt; 99.5%</v>
          </cell>
          <cell r="G835">
            <v>0.25</v>
          </cell>
          <cell r="H835">
            <v>0.25</v>
          </cell>
          <cell r="I835">
            <v>0.65</v>
          </cell>
          <cell r="J835" t="str">
            <v>65% and above sites meeting PA &gt; 99.5%</v>
          </cell>
          <cell r="K835" t="str">
            <v>Achieve Average  PA &gt; 99.5% for every month staring August 2025 (refer to 'PA Glide Path' below)</v>
          </cell>
          <cell r="L835" t="str">
            <v>EMMANUEL EZE</v>
          </cell>
        </row>
        <row r="836">
          <cell r="A836">
            <v>89</v>
          </cell>
          <cell r="B836" t="str">
            <v>FD00052</v>
          </cell>
          <cell r="C836" t="str">
            <v>KINGSLEY OHAKWE</v>
          </cell>
          <cell r="D836" t="str">
            <v>Operations Manager</v>
          </cell>
          <cell r="E836" t="str">
            <v>Ensure average RMS sensors availability of 95% per month</v>
          </cell>
          <cell r="F836" t="str">
            <v>Ensure average RMS sensors availability of 95% per month</v>
          </cell>
          <cell r="G836">
            <v>0.15</v>
          </cell>
          <cell r="H836">
            <v>0.15</v>
          </cell>
          <cell r="I836">
            <v>0.95</v>
          </cell>
          <cell r="J836" t="str">
            <v>Ensure average RMS sensors availability of 95% per month</v>
          </cell>
          <cell r="K836" t="str">
            <v>Achieve Average  PA &gt; 99.5% for every month staring August 2025 (refer to 'PA Glide Path' below)</v>
          </cell>
          <cell r="L836" t="str">
            <v>EMMANUEL EZE</v>
          </cell>
        </row>
        <row r="837">
          <cell r="A837">
            <v>89</v>
          </cell>
          <cell r="B837" t="str">
            <v>FD00052</v>
          </cell>
          <cell r="C837" t="str">
            <v>KINGSLEY OHAKWE</v>
          </cell>
          <cell r="D837" t="str">
            <v>Operations Manager</v>
          </cell>
          <cell r="E837" t="str">
            <v>MS Vendor SLA - Ensure 95% compliance on PPM and janitorial</v>
          </cell>
          <cell r="F837" t="str">
            <v>MS Vendor SLA - Ensure 95% compliance on PPM and janitorial</v>
          </cell>
          <cell r="G837">
            <v>0.15</v>
          </cell>
          <cell r="H837">
            <v>0.15</v>
          </cell>
          <cell r="J837" t="str">
            <v>MS Vendor SLA - Ensure 95% compliance on PPM and janitorial</v>
          </cell>
          <cell r="L837" t="str">
            <v>EMMANUEL EZE</v>
          </cell>
        </row>
        <row r="838">
          <cell r="A838">
            <v>90</v>
          </cell>
          <cell r="B838" t="str">
            <v>FD00055</v>
          </cell>
          <cell r="C838" t="str">
            <v>INNOCENT AGBO</v>
          </cell>
          <cell r="D838" t="str">
            <v>Operations Manager</v>
          </cell>
          <cell r="E838" t="str">
            <v>Ensure average fault per site of &lt; 2. 4 per month</v>
          </cell>
          <cell r="F838" t="str">
            <v>Ensure average fault per site of &lt; 2. 4 per month</v>
          </cell>
          <cell r="G838">
            <v>0.25</v>
          </cell>
          <cell r="H838">
            <v>0.25</v>
          </cell>
          <cell r="I838" t="str">
            <v>&lt;2.4</v>
          </cell>
          <cell r="J838" t="str">
            <v>Ensure average fault per site of &lt; 2. 4 per month</v>
          </cell>
          <cell r="K838" t="str">
            <v>Achieve Average  PA &gt; 99.5% for every month staring August 2025 (refer to 'PA Glide Path' below)</v>
          </cell>
          <cell r="L838" t="str">
            <v>EMMANUEL EZE</v>
          </cell>
        </row>
        <row r="839">
          <cell r="A839">
            <v>90</v>
          </cell>
          <cell r="B839" t="str">
            <v>FD00055</v>
          </cell>
          <cell r="C839" t="str">
            <v>INNOCENT AGBO</v>
          </cell>
          <cell r="D839" t="str">
            <v>Operations Manager</v>
          </cell>
          <cell r="E839" t="str">
            <v>Ensure MTTR &lt;90minutes</v>
          </cell>
          <cell r="F839" t="str">
            <v>Ensure MTTR &lt;90minutes</v>
          </cell>
          <cell r="G839">
            <v>0.2</v>
          </cell>
          <cell r="H839">
            <v>0.2</v>
          </cell>
          <cell r="I839" t="str">
            <v>&lt;90min</v>
          </cell>
          <cell r="J839" t="str">
            <v>Ensure MTTR &lt;90minutes</v>
          </cell>
          <cell r="K839" t="str">
            <v>Achieve Average  PA &gt; 99.5% for every month staring August 2025 (refer to 'PA Glide Path' below)</v>
          </cell>
          <cell r="L839" t="str">
            <v>EMMANUEL EZE</v>
          </cell>
        </row>
        <row r="840">
          <cell r="A840">
            <v>90</v>
          </cell>
          <cell r="B840" t="str">
            <v>FD00055</v>
          </cell>
          <cell r="C840" t="str">
            <v>INNOCENT AGBO</v>
          </cell>
          <cell r="D840" t="str">
            <v>Operations Manager</v>
          </cell>
          <cell r="E840" t="str">
            <v>65% and above sites meeting PA &gt; 99.5%</v>
          </cell>
          <cell r="F840" t="str">
            <v>65% and above sites meeting PA &gt; 99.5%</v>
          </cell>
          <cell r="G840">
            <v>0.25</v>
          </cell>
          <cell r="H840">
            <v>0.25</v>
          </cell>
          <cell r="I840">
            <v>0.65</v>
          </cell>
          <cell r="J840" t="str">
            <v>65% and above sites meeting PA &gt; 99.5%</v>
          </cell>
          <cell r="K840" t="str">
            <v>Achieve Average  PA &gt; 99.5% for every month staring August 2025 (refer to 'PA Glide Path' below)</v>
          </cell>
          <cell r="L840" t="str">
            <v>EMMANUEL EZE</v>
          </cell>
        </row>
        <row r="841">
          <cell r="A841">
            <v>90</v>
          </cell>
          <cell r="B841" t="str">
            <v>FD00055</v>
          </cell>
          <cell r="C841" t="str">
            <v>INNOCENT AGBO</v>
          </cell>
          <cell r="D841" t="str">
            <v>Operations Manager</v>
          </cell>
          <cell r="E841" t="str">
            <v>Ensure average RMS sensors availability of 95% per month</v>
          </cell>
          <cell r="F841" t="str">
            <v>Ensure average RMS sensors availability of 95% per month</v>
          </cell>
          <cell r="G841">
            <v>0.15</v>
          </cell>
          <cell r="H841">
            <v>0.15</v>
          </cell>
          <cell r="I841">
            <v>0.95</v>
          </cell>
          <cell r="J841" t="str">
            <v>Ensure average RMS sensors availability of 95% per month</v>
          </cell>
          <cell r="K841" t="str">
            <v>Achieve Average  PA &gt; 99.5% for every month staring August 2025 (refer to 'PA Glide Path' below)</v>
          </cell>
          <cell r="L841" t="str">
            <v>EMMANUEL EZE</v>
          </cell>
        </row>
        <row r="842">
          <cell r="A842">
            <v>90</v>
          </cell>
          <cell r="B842" t="str">
            <v>FD00055</v>
          </cell>
          <cell r="C842" t="str">
            <v>INNOCENT AGBO</v>
          </cell>
          <cell r="D842" t="str">
            <v>Operations Manager</v>
          </cell>
          <cell r="E842" t="str">
            <v>MS Vendor SLA - Ensure 95% compliance on PPM and janitorial</v>
          </cell>
          <cell r="F842" t="str">
            <v>MS Vendor SLA - Ensure 95% compliance on PPM and janitorial</v>
          </cell>
          <cell r="G842">
            <v>0.15</v>
          </cell>
          <cell r="H842">
            <v>0.15</v>
          </cell>
          <cell r="J842" t="str">
            <v>MS Vendor SLA - Ensure 95% compliance on PPM and janitorial</v>
          </cell>
          <cell r="L842" t="str">
            <v>EMMANUEL EZE</v>
          </cell>
        </row>
        <row r="843">
          <cell r="A843">
            <v>91</v>
          </cell>
          <cell r="B843" t="e">
            <v>#N/A</v>
          </cell>
          <cell r="C843" t="str">
            <v>VACANT</v>
          </cell>
          <cell r="D843" t="str">
            <v>SME DG (Vacant)</v>
          </cell>
          <cell r="E843" t="str">
            <v>Ensure reduction of DG fault by 10%</v>
          </cell>
          <cell r="F843" t="str">
            <v>Ensure reduction of DG fault by 10%</v>
          </cell>
          <cell r="G843">
            <v>0.3</v>
          </cell>
          <cell r="H843">
            <v>0.3</v>
          </cell>
          <cell r="J843" t="str">
            <v>Ensure reduction of DG fault by 10%</v>
          </cell>
          <cell r="L843" t="str">
            <v>SWAPNIL MAHADIK</v>
          </cell>
        </row>
        <row r="844">
          <cell r="A844">
            <v>91</v>
          </cell>
          <cell r="B844" t="e">
            <v>#N/A</v>
          </cell>
          <cell r="C844" t="str">
            <v>VACANT</v>
          </cell>
          <cell r="D844" t="str">
            <v>SME DG (Vacant)</v>
          </cell>
          <cell r="E844" t="str">
            <v>Increase the life span of DGs by 10%</v>
          </cell>
          <cell r="F844" t="str">
            <v>Increase the life span of DGs by 10%</v>
          </cell>
          <cell r="G844">
            <v>0.3</v>
          </cell>
          <cell r="H844">
            <v>0.3</v>
          </cell>
          <cell r="J844" t="str">
            <v>Increase the life span of DGs by 10%</v>
          </cell>
          <cell r="L844" t="str">
            <v>SWAPNIL MAHADIK</v>
          </cell>
        </row>
        <row r="845">
          <cell r="A845">
            <v>91</v>
          </cell>
          <cell r="B845" t="e">
            <v>#N/A</v>
          </cell>
          <cell r="C845" t="str">
            <v>VACANT</v>
          </cell>
          <cell r="D845" t="str">
            <v>SME DG (Vacant)</v>
          </cell>
          <cell r="E845" t="str">
            <v>Ensure accuracy in DG inventry management (field and warehouse)</v>
          </cell>
          <cell r="F845" t="str">
            <v>Ensure accuracy in DG inventry management (field and warehouse)</v>
          </cell>
          <cell r="G845">
            <v>0.15</v>
          </cell>
          <cell r="H845">
            <v>0.15</v>
          </cell>
          <cell r="J845" t="str">
            <v>Ensure accuracy in DG inventry management (field and warehouse)</v>
          </cell>
          <cell r="L845" t="str">
            <v>SWAPNIL MAHADIK</v>
          </cell>
        </row>
        <row r="846">
          <cell r="A846">
            <v>91</v>
          </cell>
          <cell r="B846" t="e">
            <v>#N/A</v>
          </cell>
          <cell r="C846" t="str">
            <v>VACANT</v>
          </cell>
          <cell r="D846" t="str">
            <v>SME DG (Vacant)</v>
          </cell>
          <cell r="E846" t="str">
            <v>Ensure MTTR &lt;120minutes for DG faults</v>
          </cell>
          <cell r="F846" t="str">
            <v>Ensure MTTR &lt;120minutes for DG faults</v>
          </cell>
          <cell r="G846">
            <v>0.25</v>
          </cell>
          <cell r="H846">
            <v>0.25</v>
          </cell>
          <cell r="J846" t="str">
            <v>Ensure MTTR &lt;120minutes for DG faults</v>
          </cell>
          <cell r="L846" t="str">
            <v>SWAPNIL MAHADIK</v>
          </cell>
        </row>
        <row r="847">
          <cell r="A847">
            <v>92</v>
          </cell>
          <cell r="B847" t="str">
            <v>PAT00002</v>
          </cell>
          <cell r="C847" t="str">
            <v>LAWRENCE UKWENYA</v>
          </cell>
          <cell r="D847" t="str">
            <v>Reconciliation Officer - Airtel</v>
          </cell>
          <cell r="E847" t="str">
            <v>Ensure average fault count &lt;70</v>
          </cell>
          <cell r="F847" t="str">
            <v>Ensure average fault count &lt;70</v>
          </cell>
          <cell r="G847">
            <v>0.1</v>
          </cell>
          <cell r="H847">
            <v>0.1</v>
          </cell>
          <cell r="I847" t="str">
            <v>&lt;70</v>
          </cell>
          <cell r="J847" t="str">
            <v>Ensure average fault count &lt;70</v>
          </cell>
          <cell r="L847" t="str">
            <v>MURTALA ABDULMUMIN</v>
          </cell>
        </row>
        <row r="848">
          <cell r="A848">
            <v>92</v>
          </cell>
          <cell r="B848" t="str">
            <v>PAT00002</v>
          </cell>
          <cell r="C848" t="str">
            <v>LAWRENCE UKWENYA</v>
          </cell>
          <cell r="D848" t="str">
            <v>Reconciliation Officer - Airtel</v>
          </cell>
          <cell r="E848" t="str">
            <v>Ensure MTTR &lt;90minutes</v>
          </cell>
          <cell r="F848" t="str">
            <v>Ensure MTTR &lt;90minutes</v>
          </cell>
          <cell r="G848">
            <v>0.1</v>
          </cell>
          <cell r="H848">
            <v>0.1</v>
          </cell>
          <cell r="I848" t="str">
            <v>&lt;90min</v>
          </cell>
          <cell r="J848" t="str">
            <v>Ensure MTTR &lt;90minutes</v>
          </cell>
          <cell r="L848" t="str">
            <v>MURTALA ABDULMUMIN</v>
          </cell>
        </row>
        <row r="849">
          <cell r="A849">
            <v>92</v>
          </cell>
          <cell r="B849" t="str">
            <v>PAT00002</v>
          </cell>
          <cell r="C849" t="str">
            <v>LAWRENCE UKWENYA</v>
          </cell>
          <cell r="D849" t="str">
            <v>Reconciliation Officer - Airtel</v>
          </cell>
          <cell r="E849" t="str">
            <v>65% and above sites meeting PA &gt; 99.5%</v>
          </cell>
          <cell r="F849" t="str">
            <v>65% and above sites meeting PA &gt; 99.5%</v>
          </cell>
          <cell r="G849">
            <v>0.1</v>
          </cell>
          <cell r="H849">
            <v>0.1</v>
          </cell>
          <cell r="I849">
            <v>0.65</v>
          </cell>
          <cell r="J849" t="str">
            <v>65% and above sites meeting PA &gt; 99.5%</v>
          </cell>
          <cell r="L849" t="str">
            <v>MURTALA ABDULMUMIN</v>
          </cell>
        </row>
        <row r="850">
          <cell r="A850">
            <v>92</v>
          </cell>
          <cell r="B850" t="str">
            <v>PAT00002</v>
          </cell>
          <cell r="C850" t="str">
            <v>LAWRENCE UKWENYA</v>
          </cell>
          <cell r="D850" t="str">
            <v>Reconciliation Officer - Airtel</v>
          </cell>
          <cell r="E850" t="str">
            <v>Reconciliation with Airtel</v>
          </cell>
          <cell r="F850" t="str">
            <v>Reconciliation with Airtel</v>
          </cell>
          <cell r="G850">
            <v>0.2</v>
          </cell>
          <cell r="H850">
            <v>0.2</v>
          </cell>
          <cell r="I850" t="str">
            <v>&lt;7 Days</v>
          </cell>
          <cell r="J850" t="str">
            <v>Ensure &lt;7Days Sign off of Monthly PA Post reconciliation for Airtel</v>
          </cell>
          <cell r="L850" t="str">
            <v>MURTALA ABDULMUMIN</v>
          </cell>
        </row>
        <row r="851">
          <cell r="A851">
            <v>92</v>
          </cell>
          <cell r="B851" t="str">
            <v>PAT00002</v>
          </cell>
          <cell r="C851" t="str">
            <v>LAWRENCE UKWENYA</v>
          </cell>
          <cell r="D851" t="str">
            <v>Reconciliation Officer - Airtel</v>
          </cell>
          <cell r="E851" t="str">
            <v>Reconciliation with MS Vendor</v>
          </cell>
          <cell r="F851" t="str">
            <v>Reconciliation with MS Vendor</v>
          </cell>
          <cell r="G851">
            <v>0.15</v>
          </cell>
          <cell r="H851">
            <v>0.15</v>
          </cell>
          <cell r="I851" t="str">
            <v>&lt;7 Days</v>
          </cell>
          <cell r="J851" t="str">
            <v>Ensure &lt;7Days Sign off of Monthly PA Post reconciliation for Watt and Reimi</v>
          </cell>
          <cell r="L851" t="str">
            <v>MURTALA ABDULMUMIN</v>
          </cell>
        </row>
        <row r="852">
          <cell r="A852">
            <v>92</v>
          </cell>
          <cell r="B852" t="str">
            <v>PAT00002</v>
          </cell>
          <cell r="C852" t="str">
            <v>LAWRENCE UKWENYA</v>
          </cell>
          <cell r="D852" t="str">
            <v>Reconciliation Officer - Airtel</v>
          </cell>
          <cell r="E852" t="str">
            <v>Reconciliation with ISP</v>
          </cell>
          <cell r="F852" t="str">
            <v>Reconciliation with ISP</v>
          </cell>
          <cell r="G852">
            <v>0.15</v>
          </cell>
          <cell r="H852">
            <v>0.15</v>
          </cell>
          <cell r="I852" t="str">
            <v>&lt;3 Days</v>
          </cell>
          <cell r="J852" t="str">
            <v>Ensure &lt;3Days Sign off of Monthly PA Post reconciliation for ISPs (Bitflux, Spectranet)</v>
          </cell>
          <cell r="L852" t="str">
            <v>MURTALA ABDULMUMIN</v>
          </cell>
        </row>
        <row r="853">
          <cell r="A853">
            <v>92</v>
          </cell>
          <cell r="B853" t="str">
            <v>PAT00002</v>
          </cell>
          <cell r="C853" t="str">
            <v>LAWRENCE UKWENYA</v>
          </cell>
          <cell r="D853" t="str">
            <v>Reconciliation Officer - Airtel</v>
          </cell>
          <cell r="E853" t="str">
            <v>NOC Ticket closure rate</v>
          </cell>
          <cell r="F853" t="str">
            <v>NOC Ticket closure rate</v>
          </cell>
          <cell r="G853">
            <v>0.2</v>
          </cell>
          <cell r="H853">
            <v>0.2</v>
          </cell>
          <cell r="I853">
            <v>0.9</v>
          </cell>
          <cell r="J853" t="str">
            <v>Ensure 90% Monthly closure rate of Airtel tickets</v>
          </cell>
          <cell r="L853" t="str">
            <v>MURTALA ABDULMUMIN</v>
          </cell>
        </row>
        <row r="854">
          <cell r="A854">
            <v>93</v>
          </cell>
          <cell r="B854" t="str">
            <v>PAT00016</v>
          </cell>
          <cell r="C854" t="str">
            <v>YUSUF ABIODUN</v>
          </cell>
          <cell r="D854" t="str">
            <v>Reconciliation Officer - MTN</v>
          </cell>
          <cell r="E854" t="str">
            <v>Ensure average fault count &lt;70</v>
          </cell>
          <cell r="F854" t="str">
            <v>Ensure average fault count &lt;70</v>
          </cell>
          <cell r="G854">
            <v>0.1</v>
          </cell>
          <cell r="H854">
            <v>0.1</v>
          </cell>
          <cell r="I854" t="str">
            <v>&lt;70</v>
          </cell>
          <cell r="J854" t="str">
            <v>Ensure average fault count &lt;70</v>
          </cell>
          <cell r="L854" t="str">
            <v>MURTALA ABDULMUMIN</v>
          </cell>
        </row>
        <row r="855">
          <cell r="A855">
            <v>93</v>
          </cell>
          <cell r="B855" t="str">
            <v>PAT00016</v>
          </cell>
          <cell r="C855" t="str">
            <v>YUSUF ABIODUN</v>
          </cell>
          <cell r="D855" t="str">
            <v>Reconciliation Officer - MTN</v>
          </cell>
          <cell r="E855" t="str">
            <v>Ensure MTTR &lt;90minutes</v>
          </cell>
          <cell r="F855" t="str">
            <v>Ensure MTTR &lt;90minutes</v>
          </cell>
          <cell r="G855">
            <v>0.1</v>
          </cell>
          <cell r="H855">
            <v>0.1</v>
          </cell>
          <cell r="I855" t="str">
            <v>&lt;120min</v>
          </cell>
          <cell r="J855" t="str">
            <v>Ensure MTTR &lt;90minutes</v>
          </cell>
          <cell r="L855" t="str">
            <v>MURTALA ABDULMUMIN</v>
          </cell>
        </row>
        <row r="856">
          <cell r="A856">
            <v>93</v>
          </cell>
          <cell r="B856" t="str">
            <v>PAT00016</v>
          </cell>
          <cell r="C856" t="str">
            <v>YUSUF ABIODUN</v>
          </cell>
          <cell r="D856" t="str">
            <v>Reconciliation Officer - MTN</v>
          </cell>
          <cell r="E856" t="str">
            <v>65% and above sites meeting PA &gt; 99.5%</v>
          </cell>
          <cell r="F856" t="str">
            <v>65% and above sites meeting PA &gt; 99.5%</v>
          </cell>
          <cell r="G856">
            <v>0.1</v>
          </cell>
          <cell r="H856">
            <v>0.1</v>
          </cell>
          <cell r="I856">
            <v>0.65</v>
          </cell>
          <cell r="J856" t="str">
            <v>65% and above sites meeting PA &gt; 99.5%</v>
          </cell>
          <cell r="L856" t="str">
            <v>MURTALA ABDULMUMIN</v>
          </cell>
        </row>
        <row r="857">
          <cell r="A857">
            <v>93</v>
          </cell>
          <cell r="B857" t="str">
            <v>PAT00016</v>
          </cell>
          <cell r="C857" t="str">
            <v>YUSUF ABIODUN</v>
          </cell>
          <cell r="D857" t="str">
            <v>Reconciliation Officer - MTN</v>
          </cell>
          <cell r="E857" t="str">
            <v>Reconciliation with MTN</v>
          </cell>
          <cell r="F857" t="str">
            <v>Reconciliation with MTN</v>
          </cell>
          <cell r="G857">
            <v>0.2</v>
          </cell>
          <cell r="H857">
            <v>0.2</v>
          </cell>
          <cell r="I857" t="str">
            <v>&lt;7 Days</v>
          </cell>
          <cell r="J857" t="str">
            <v>Ensure &lt;7Days Sign off of Monthly PA Post reconciliation for MTN</v>
          </cell>
          <cell r="L857" t="str">
            <v>MURTALA ABDULMUMIN</v>
          </cell>
        </row>
        <row r="858">
          <cell r="A858">
            <v>93</v>
          </cell>
          <cell r="B858" t="str">
            <v>PAT00016</v>
          </cell>
          <cell r="C858" t="str">
            <v>YUSUF ABIODUN</v>
          </cell>
          <cell r="D858" t="str">
            <v>Reconciliation Officer - MTN</v>
          </cell>
          <cell r="E858" t="str">
            <v>Reconciliation with MS Vendor</v>
          </cell>
          <cell r="F858" t="str">
            <v>Reconciliation with MS Vendor</v>
          </cell>
          <cell r="G858">
            <v>0.15</v>
          </cell>
          <cell r="H858">
            <v>0.15</v>
          </cell>
          <cell r="I858" t="str">
            <v>&lt;7 Days</v>
          </cell>
          <cell r="J858" t="str">
            <v>Ensure &lt;7Days Sign off of Monthly PA Post reconciliation for Safari and Tyllium</v>
          </cell>
          <cell r="L858" t="str">
            <v>MURTALA ABDULMUMIN</v>
          </cell>
        </row>
        <row r="859">
          <cell r="A859">
            <v>93</v>
          </cell>
          <cell r="B859" t="str">
            <v>PAT00016</v>
          </cell>
          <cell r="C859" t="str">
            <v>YUSUF ABIODUN</v>
          </cell>
          <cell r="D859" t="str">
            <v>Reconciliation Officer - MTN</v>
          </cell>
          <cell r="E859" t="str">
            <v>Reconciliation with ISP</v>
          </cell>
          <cell r="F859" t="str">
            <v>Reconciliation with ISP</v>
          </cell>
          <cell r="G859">
            <v>0.15</v>
          </cell>
          <cell r="H859">
            <v>0.15</v>
          </cell>
          <cell r="I859" t="str">
            <v>&lt;3 Days</v>
          </cell>
          <cell r="J859" t="str">
            <v>Ensure &lt;3Days Sign off of Monthly PA Post reconciliation for ISP (Cyber space)</v>
          </cell>
          <cell r="L859" t="str">
            <v>MURTALA ABDULMUMIN</v>
          </cell>
        </row>
        <row r="860">
          <cell r="A860">
            <v>93</v>
          </cell>
          <cell r="B860" t="str">
            <v>PAT00016</v>
          </cell>
          <cell r="C860" t="str">
            <v>YUSUF ABIODUN</v>
          </cell>
          <cell r="D860" t="str">
            <v>Reconciliation Officer - MTN</v>
          </cell>
          <cell r="E860" t="str">
            <v>NOC Ticket closure rate</v>
          </cell>
          <cell r="F860" t="str">
            <v>NOC Ticket closure rate</v>
          </cell>
          <cell r="G860">
            <v>0.2</v>
          </cell>
          <cell r="H860">
            <v>0.2</v>
          </cell>
          <cell r="I860">
            <v>0.7</v>
          </cell>
          <cell r="J860" t="str">
            <v>Ensure 70% Daily closure rate of MTN tickets</v>
          </cell>
          <cell r="L860" t="str">
            <v>MURTALA ABDULMUMIN</v>
          </cell>
        </row>
        <row r="861">
          <cell r="A861">
            <v>94</v>
          </cell>
          <cell r="B861" t="str">
            <v>PAT00044</v>
          </cell>
          <cell r="C861" t="str">
            <v>ONYEKA OKWUENYI</v>
          </cell>
          <cell r="D861" t="str">
            <v>NOC Team lead (1 - vacant)</v>
          </cell>
          <cell r="E861" t="str">
            <v>NOC Ticket closure rate-MTN</v>
          </cell>
          <cell r="F861" t="str">
            <v>NOC Ticket closure rate-MTN</v>
          </cell>
          <cell r="G861">
            <v>0.2</v>
          </cell>
          <cell r="H861">
            <v>0.2</v>
          </cell>
          <cell r="I861">
            <v>0.7</v>
          </cell>
          <cell r="J861" t="str">
            <v>Ensure 70% Daily closure rate of MTN tickets</v>
          </cell>
          <cell r="L861" t="str">
            <v>MURTALA ABDULMUMIN</v>
          </cell>
        </row>
        <row r="862">
          <cell r="A862">
            <v>94</v>
          </cell>
          <cell r="B862" t="str">
            <v>PAT00044</v>
          </cell>
          <cell r="C862" t="str">
            <v>ONYEKA OKWUENYI</v>
          </cell>
          <cell r="D862" t="str">
            <v>NOC Team lead (1 - vacant)</v>
          </cell>
          <cell r="E862" t="str">
            <v>NOC Ticket closure rate-Airtel</v>
          </cell>
          <cell r="F862" t="str">
            <v>NOC Ticket closure rate-Airtel</v>
          </cell>
          <cell r="G862">
            <v>0.2</v>
          </cell>
          <cell r="H862">
            <v>0.2</v>
          </cell>
          <cell r="I862">
            <v>0.9</v>
          </cell>
          <cell r="J862" t="str">
            <v>Ensure 90% Daily closure rate of Airtel tickets</v>
          </cell>
          <cell r="L862" t="str">
            <v>MURTALA ABDULMUMIN</v>
          </cell>
        </row>
        <row r="863">
          <cell r="A863">
            <v>94</v>
          </cell>
          <cell r="B863" t="str">
            <v>PAT00044</v>
          </cell>
          <cell r="C863" t="str">
            <v>ONYEKA OKWUENYI</v>
          </cell>
          <cell r="D863" t="str">
            <v>NOC Team lead (1 - vacant)</v>
          </cell>
          <cell r="E863" t="str">
            <v>Ensure MTTR &lt;90minutes</v>
          </cell>
          <cell r="F863" t="str">
            <v>Ensure MTTR &lt;90minutes</v>
          </cell>
          <cell r="G863">
            <v>0.1</v>
          </cell>
          <cell r="H863">
            <v>0.1</v>
          </cell>
          <cell r="I863" t="str">
            <v>&lt;90min</v>
          </cell>
          <cell r="J863" t="str">
            <v>Ensure MTTR &lt;90minutes</v>
          </cell>
          <cell r="L863" t="str">
            <v>MURTALA ABDULMUMIN</v>
          </cell>
        </row>
        <row r="864">
          <cell r="A864">
            <v>94</v>
          </cell>
          <cell r="B864" t="str">
            <v>PAT00044</v>
          </cell>
          <cell r="C864" t="str">
            <v>ONYEKA OKWUENYI</v>
          </cell>
          <cell r="D864" t="str">
            <v>NOC Team lead (1 - vacant)</v>
          </cell>
          <cell r="E864" t="str">
            <v>NOC Ticket closure rate-Alarm</v>
          </cell>
          <cell r="F864" t="str">
            <v>NOC Ticket closure rate-Alarm</v>
          </cell>
          <cell r="G864">
            <v>0.15</v>
          </cell>
          <cell r="H864">
            <v>0.15</v>
          </cell>
          <cell r="I864">
            <v>0.95</v>
          </cell>
          <cell r="J864" t="str">
            <v>Ensure 95% Daily closure rate of Passive alarms</v>
          </cell>
          <cell r="L864" t="str">
            <v>MURTALA ABDULMUMIN</v>
          </cell>
        </row>
        <row r="865">
          <cell r="A865">
            <v>94</v>
          </cell>
          <cell r="B865" t="str">
            <v>PAT00044</v>
          </cell>
          <cell r="C865" t="str">
            <v>ONYEKA OKWUENYI</v>
          </cell>
          <cell r="D865" t="str">
            <v>NOC Team lead (1 - vacant)</v>
          </cell>
          <cell r="E865" t="str">
            <v>Prompt Hourly outage reporting</v>
          </cell>
          <cell r="F865" t="str">
            <v>Prompt Hourly outage reporting</v>
          </cell>
          <cell r="G865">
            <v>0.1</v>
          </cell>
          <cell r="H865">
            <v>0.1</v>
          </cell>
          <cell r="I865" t="str">
            <v>&lt;15 Mins</v>
          </cell>
          <cell r="J865" t="str">
            <v>Ensure not more than 15mins after the hour mark of hourly outage report</v>
          </cell>
          <cell r="L865" t="str">
            <v>MURTALA ABDULMUMIN</v>
          </cell>
        </row>
        <row r="866">
          <cell r="A866">
            <v>94</v>
          </cell>
          <cell r="B866" t="str">
            <v>PAT00044</v>
          </cell>
          <cell r="C866" t="str">
            <v>ONYEKA OKWUENYI</v>
          </cell>
          <cell r="D866" t="str">
            <v>NOC Team lead (1 - vacant)</v>
          </cell>
          <cell r="E866" t="str">
            <v>Ensure average fault count &lt;70</v>
          </cell>
          <cell r="F866" t="str">
            <v>Ensure average fault count &lt;70</v>
          </cell>
          <cell r="G866">
            <v>0.05</v>
          </cell>
          <cell r="H866">
            <v>0.05</v>
          </cell>
          <cell r="I866" t="str">
            <v>&lt;70</v>
          </cell>
          <cell r="J866" t="str">
            <v>Ensure average fault count &lt;70</v>
          </cell>
          <cell r="L866" t="str">
            <v>MURTALA ABDULMUMIN</v>
          </cell>
        </row>
        <row r="867">
          <cell r="A867">
            <v>94</v>
          </cell>
          <cell r="B867" t="str">
            <v>PAT00044</v>
          </cell>
          <cell r="C867" t="str">
            <v>ONYEKA OKWUENYI</v>
          </cell>
          <cell r="D867" t="str">
            <v>NOC Team lead (1 - vacant)</v>
          </cell>
          <cell r="E867" t="str">
            <v>65% and above sites meeting PA &gt; 99.5%</v>
          </cell>
          <cell r="F867" t="str">
            <v>65% and above sites meeting PA &gt; 99.5%</v>
          </cell>
          <cell r="G867">
            <v>0.05</v>
          </cell>
          <cell r="H867">
            <v>0.05</v>
          </cell>
          <cell r="I867">
            <v>0.65</v>
          </cell>
          <cell r="J867" t="str">
            <v>65% and above sites meeting PA &gt; 99.5%</v>
          </cell>
          <cell r="L867" t="str">
            <v>MURTALA ABDULMUMIN</v>
          </cell>
        </row>
        <row r="868">
          <cell r="A868">
            <v>94</v>
          </cell>
          <cell r="B868" t="str">
            <v>PAT00044</v>
          </cell>
          <cell r="C868" t="str">
            <v>ONYEKA OKWUENYI</v>
          </cell>
          <cell r="D868" t="str">
            <v>NOC Team lead (1 - vacant)</v>
          </cell>
          <cell r="E868" t="str">
            <v>Ensure reduction of Passive alarm count</v>
          </cell>
          <cell r="F868" t="str">
            <v>Ensure reduction of Passive alarm count</v>
          </cell>
          <cell r="G868">
            <v>0.05</v>
          </cell>
          <cell r="H868">
            <v>0.05</v>
          </cell>
          <cell r="I868">
            <v>0.01</v>
          </cell>
          <cell r="J868" t="str">
            <v>Ensure monthly reduction of critical alarms by 1%.</v>
          </cell>
          <cell r="L868" t="str">
            <v>MURTALA ABDULMUMIN</v>
          </cell>
        </row>
        <row r="869">
          <cell r="A869">
            <v>94</v>
          </cell>
          <cell r="B869" t="str">
            <v>PAT00044</v>
          </cell>
          <cell r="C869" t="str">
            <v>ONYEKA OKWUENYI</v>
          </cell>
          <cell r="D869" t="str">
            <v>NOC Team lead (1 - vacant)</v>
          </cell>
          <cell r="E869" t="str">
            <v>Governance of MS Vendors</v>
          </cell>
          <cell r="F869" t="str">
            <v>Governance of MS Vendors</v>
          </cell>
          <cell r="G869">
            <v>0.1</v>
          </cell>
          <cell r="H869">
            <v>0.1</v>
          </cell>
          <cell r="I869">
            <v>3</v>
          </cell>
          <cell r="J869" t="str">
            <v>Minimum of 3 weekly governance meeting with MS Vendor NOC Managers</v>
          </cell>
          <cell r="L869" t="str">
            <v>MURTALA ABDULMUMIN</v>
          </cell>
        </row>
        <row r="870">
          <cell r="A870">
            <v>95</v>
          </cell>
          <cell r="B870" t="str">
            <v>PAT00041</v>
          </cell>
          <cell r="C870" t="str">
            <v>GODWIN IHIMI</v>
          </cell>
          <cell r="D870" t="str">
            <v>RMS Operator</v>
          </cell>
          <cell r="E870" t="str">
            <v>Remote Monitoring System (RMS) installed and Connected for 100% of new and existing sites</v>
          </cell>
          <cell r="F870" t="str">
            <v>Remote Monitoring System (RMS) installed and Connected for 100% of new and existing sites</v>
          </cell>
          <cell r="G870">
            <v>0.2</v>
          </cell>
          <cell r="H870">
            <v>0.2</v>
          </cell>
          <cell r="I870">
            <v>1</v>
          </cell>
          <cell r="J870" t="str">
            <v>Ensure Remote Monitoring System (RMS) installed and fully operational for 100% of new and existing sites</v>
          </cell>
          <cell r="L870" t="str">
            <v>MURTALA ABDULMUMIN</v>
          </cell>
        </row>
        <row r="871">
          <cell r="A871">
            <v>95</v>
          </cell>
          <cell r="B871" t="str">
            <v>PAT00041</v>
          </cell>
          <cell r="C871" t="str">
            <v>GODWIN IHIMI</v>
          </cell>
          <cell r="D871" t="str">
            <v>RMS Operator</v>
          </cell>
          <cell r="E871" t="str">
            <v>Energy management - Ensure adequate billing for underbilled sites</v>
          </cell>
          <cell r="F871" t="str">
            <v>Energy management - Ensure adequate billing for underbilled sites</v>
          </cell>
          <cell r="G871">
            <v>0.2</v>
          </cell>
          <cell r="H871">
            <v>0.2</v>
          </cell>
          <cell r="I871">
            <v>1</v>
          </cell>
          <cell r="J871" t="str">
            <v>Energy management - Ensure 100% accurate energy consumption data for tenants connected on RMS (Airtel &amp; MTN)</v>
          </cell>
          <cell r="L871" t="str">
            <v>MURTALA ABDULMUMIN</v>
          </cell>
        </row>
        <row r="872">
          <cell r="A872">
            <v>95</v>
          </cell>
          <cell r="B872" t="str">
            <v>PAT00041</v>
          </cell>
          <cell r="C872" t="str">
            <v>GODWIN IHIMI</v>
          </cell>
          <cell r="D872" t="str">
            <v>RMS Operator</v>
          </cell>
          <cell r="E872" t="str">
            <v>Saving from Fuel - Grid Sites - Ensure RMS connectivity is operational for all sites connected to the grid</v>
          </cell>
          <cell r="F872" t="str">
            <v>Saving from Fuel - Grid Sites - Ensure RMS connectivity is operational for all sites connected to the grid</v>
          </cell>
          <cell r="G872">
            <v>0.15</v>
          </cell>
          <cell r="H872">
            <v>0.15</v>
          </cell>
          <cell r="I872">
            <v>1</v>
          </cell>
          <cell r="J872" t="str">
            <v>Saving from Fuel - Grid Sites - Ensure RMS AC Meter connectivity is operational for all sites connected to the grid</v>
          </cell>
          <cell r="L872" t="str">
            <v>MURTALA ABDULMUMIN</v>
          </cell>
        </row>
        <row r="873">
          <cell r="A873">
            <v>95</v>
          </cell>
          <cell r="B873" t="str">
            <v>PAT00041</v>
          </cell>
          <cell r="C873" t="str">
            <v>GODWIN IHIMI</v>
          </cell>
          <cell r="D873" t="str">
            <v>RMS Operator</v>
          </cell>
          <cell r="E873" t="str">
            <v>Saving from Fuel - DG-Battery Hybrid Sites - Connect 150 Sites</v>
          </cell>
          <cell r="F873" t="str">
            <v>Saving from Fuel - DG-Battery Hybrid Sites - Connect 150 Sites</v>
          </cell>
          <cell r="G873">
            <v>0.1</v>
          </cell>
          <cell r="H873">
            <v>0.1</v>
          </cell>
          <cell r="I873">
            <v>1</v>
          </cell>
          <cell r="J873" t="str">
            <v>Ensure 100% Energy and Fuel RMS Visibility on DG-Battery Hybrid Sites</v>
          </cell>
          <cell r="L873" t="str">
            <v>MURTALA ABDULMUMIN</v>
          </cell>
        </row>
        <row r="874">
          <cell r="A874">
            <v>95</v>
          </cell>
          <cell r="B874" t="str">
            <v>PAT00041</v>
          </cell>
          <cell r="C874" t="str">
            <v>GODWIN IHIMI</v>
          </cell>
          <cell r="D874" t="str">
            <v>RMS Operator</v>
          </cell>
          <cell r="E874" t="str">
            <v>Remote Monitoring System (RMS) installed and Connected for 100% of new and existing sites</v>
          </cell>
          <cell r="F874" t="str">
            <v>Remote Monitoring System (RMS) installed and Connected for 100% of new and existing sites</v>
          </cell>
          <cell r="G874">
            <v>0.1</v>
          </cell>
          <cell r="H874">
            <v>0.1</v>
          </cell>
          <cell r="I874">
            <v>0.8</v>
          </cell>
          <cell r="J874" t="str">
            <v>Ensure 80% Green (All RMS sensor are fine) for all New and Existing sites</v>
          </cell>
          <cell r="L874" t="str">
            <v>MURTALA ABDULMUMIN</v>
          </cell>
        </row>
        <row r="875">
          <cell r="A875">
            <v>95</v>
          </cell>
          <cell r="B875" t="str">
            <v>PAT00041</v>
          </cell>
          <cell r="C875" t="str">
            <v>GODWIN IHIMI</v>
          </cell>
          <cell r="D875" t="str">
            <v>RMS Operator</v>
          </cell>
          <cell r="E875" t="str">
            <v>Ensure maintenance capex in line with budget</v>
          </cell>
          <cell r="F875" t="str">
            <v>Ensure maintenance capex in line with budget</v>
          </cell>
          <cell r="G875">
            <v>0.1</v>
          </cell>
          <cell r="H875">
            <v>0.1</v>
          </cell>
          <cell r="I875">
            <v>1</v>
          </cell>
          <cell r="J875" t="str">
            <v>Ensure maintenance capex in line with budget and does not exceed NGN Mn 406 (RMS) &amp; NGN Mn 133.9 (Tank Calibration)</v>
          </cell>
          <cell r="L875" t="str">
            <v>MURTALA ABDULMUMIN</v>
          </cell>
        </row>
        <row r="876">
          <cell r="A876">
            <v>95</v>
          </cell>
          <cell r="B876" t="str">
            <v>PAT00041</v>
          </cell>
          <cell r="C876" t="str">
            <v>GODWIN IHIMI</v>
          </cell>
          <cell r="D876" t="str">
            <v>RMS Operator</v>
          </cell>
          <cell r="E876" t="str">
            <v>Ensure understanding of full quantum of diesel theft through various means (i.e., RMS, dry date shift etc.)</v>
          </cell>
          <cell r="F876" t="str">
            <v>Ensure understanding of full quantum of diesel theft through various means (i.e., RMS, dry date shift etc.)</v>
          </cell>
          <cell r="G876">
            <v>0.1</v>
          </cell>
          <cell r="H876">
            <v>0.1</v>
          </cell>
          <cell r="I876">
            <v>1</v>
          </cell>
          <cell r="J876" t="str">
            <v xml:space="preserve">Ensure 100% free issues on the Fuel Sensor for all Calibrated sites </v>
          </cell>
          <cell r="L876" t="str">
            <v>MURTALA ABDULMUMIN</v>
          </cell>
        </row>
        <row r="877">
          <cell r="A877">
            <v>95</v>
          </cell>
          <cell r="B877" t="str">
            <v>PAT00041</v>
          </cell>
          <cell r="C877" t="str">
            <v>GODWIN IHIMI</v>
          </cell>
          <cell r="D877" t="str">
            <v>RMS Operator</v>
          </cell>
          <cell r="E877" t="str">
            <v>OPEX saving from CNG operated Sites (as per the number of sites approved by the commitee)</v>
          </cell>
          <cell r="F877" t="str">
            <v>OPEX saving from CNG operated Sites (as per the number of sites approved by the commitee)</v>
          </cell>
          <cell r="G877">
            <v>0.05</v>
          </cell>
          <cell r="H877">
            <v>0.05</v>
          </cell>
          <cell r="I877">
            <v>1</v>
          </cell>
          <cell r="J877" t="str">
            <v>Ensure 100% Energy and Fuel visibility on CNG operated Sites (as per the number of sites approved by the commitee)</v>
          </cell>
          <cell r="L877" t="str">
            <v>MURTALA ABDULMUMIN</v>
          </cell>
        </row>
        <row r="878">
          <cell r="A878">
            <v>96</v>
          </cell>
          <cell r="B878" t="str">
            <v>PAT00051</v>
          </cell>
          <cell r="C878" t="str">
            <v>OPEYEMI OLOWE</v>
          </cell>
          <cell r="D878" t="str">
            <v>Operations Support Specialist</v>
          </cell>
          <cell r="E878" t="str">
            <v>Ensure average fault count &lt;70</v>
          </cell>
          <cell r="F878" t="str">
            <v>Ensure average fault count &lt;70</v>
          </cell>
          <cell r="G878">
            <v>0.15</v>
          </cell>
          <cell r="H878">
            <v>0.15</v>
          </cell>
          <cell r="I878" t="str">
            <v>&lt;70</v>
          </cell>
          <cell r="J878" t="str">
            <v>Ensure average fault count &lt;70</v>
          </cell>
          <cell r="L878" t="str">
            <v>MURTALA ABDULMUMIN</v>
          </cell>
        </row>
        <row r="879">
          <cell r="A879">
            <v>96</v>
          </cell>
          <cell r="B879" t="str">
            <v>PAT00051</v>
          </cell>
          <cell r="C879" t="str">
            <v>OPEYEMI OLOWE</v>
          </cell>
          <cell r="D879" t="str">
            <v>Operations Support Specialist</v>
          </cell>
          <cell r="E879" t="str">
            <v>Ensure MTTR &lt;120minutes</v>
          </cell>
          <cell r="F879" t="str">
            <v>Ensure MTTR &lt;120minutes</v>
          </cell>
          <cell r="G879">
            <v>0.15</v>
          </cell>
          <cell r="H879">
            <v>0.15</v>
          </cell>
          <cell r="I879" t="str">
            <v>&lt;120min</v>
          </cell>
          <cell r="J879" t="str">
            <v>Ensure MTTR &lt;120minutes</v>
          </cell>
          <cell r="L879" t="str">
            <v>MURTALA ABDULMUMIN</v>
          </cell>
        </row>
        <row r="880">
          <cell r="A880">
            <v>96</v>
          </cell>
          <cell r="B880" t="str">
            <v>PAT00051</v>
          </cell>
          <cell r="C880" t="str">
            <v>OPEYEMI OLOWE</v>
          </cell>
          <cell r="D880" t="str">
            <v>Operations Support Specialist</v>
          </cell>
          <cell r="E880" t="str">
            <v>65% and above sites meeting PA &gt; 99.5%</v>
          </cell>
          <cell r="F880" t="str">
            <v>65% and above sites meeting PA &gt; 99.5%</v>
          </cell>
          <cell r="G880">
            <v>0.2</v>
          </cell>
          <cell r="H880">
            <v>0.2</v>
          </cell>
          <cell r="I880">
            <v>0.65</v>
          </cell>
          <cell r="J880" t="str">
            <v>65% and above sites meeting PA &gt; 99.5%</v>
          </cell>
          <cell r="L880" t="str">
            <v>MURTALA ABDULMUMIN</v>
          </cell>
        </row>
        <row r="881">
          <cell r="A881">
            <v>96</v>
          </cell>
          <cell r="B881" t="str">
            <v>PAT00051</v>
          </cell>
          <cell r="C881" t="str">
            <v>OPEYEMI OLOWE</v>
          </cell>
          <cell r="D881" t="str">
            <v>Operations Support Specialist</v>
          </cell>
          <cell r="E881" t="str">
            <v>Ensure reduction of Passive alarm count</v>
          </cell>
          <cell r="F881" t="str">
            <v>Ensure reduction of Passive alarm count</v>
          </cell>
          <cell r="G881">
            <v>0.1</v>
          </cell>
          <cell r="H881">
            <v>0.1</v>
          </cell>
          <cell r="I881">
            <v>0.01</v>
          </cell>
          <cell r="J881" t="str">
            <v>Ensure monthly reduction of critical alarms by 1%.</v>
          </cell>
          <cell r="L881" t="str">
            <v>MURTALA ABDULMUMIN</v>
          </cell>
        </row>
        <row r="882">
          <cell r="A882">
            <v>96</v>
          </cell>
          <cell r="B882" t="str">
            <v>PAT00051</v>
          </cell>
          <cell r="C882" t="str">
            <v>OPEYEMI OLOWE</v>
          </cell>
          <cell r="D882" t="str">
            <v>Operations Support Specialist</v>
          </cell>
          <cell r="E882" t="str">
            <v>Reduction repeat failures</v>
          </cell>
          <cell r="F882" t="str">
            <v>Reduction repeat failures</v>
          </cell>
          <cell r="G882">
            <v>0.2</v>
          </cell>
          <cell r="H882">
            <v>0.2</v>
          </cell>
          <cell r="I882">
            <v>0.3</v>
          </cell>
          <cell r="J882" t="str">
            <v>Ensure average &gt;30% Reduction of Wost Site</v>
          </cell>
          <cell r="L882" t="str">
            <v>MURTALA ABDULMUMIN</v>
          </cell>
        </row>
        <row r="883">
          <cell r="A883">
            <v>96</v>
          </cell>
          <cell r="B883" t="str">
            <v>PAT00051</v>
          </cell>
          <cell r="C883" t="str">
            <v>OPEYEMI OLOWE</v>
          </cell>
          <cell r="D883" t="str">
            <v>Operations Support Specialist</v>
          </cell>
          <cell r="E883" t="str">
            <v>MNO Governance Presentation</v>
          </cell>
          <cell r="F883" t="str">
            <v>MNO Governance Presentation</v>
          </cell>
          <cell r="G883">
            <v>0.1</v>
          </cell>
          <cell r="H883">
            <v>0.1</v>
          </cell>
          <cell r="I883">
            <v>1</v>
          </cell>
          <cell r="J883" t="str">
            <v>Ensure MNO Governance slides is shared error free and on time</v>
          </cell>
          <cell r="L883" t="str">
            <v>MURTALA ABDULMUMIN</v>
          </cell>
        </row>
        <row r="884">
          <cell r="A884">
            <v>96</v>
          </cell>
          <cell r="B884" t="str">
            <v>PAT00051</v>
          </cell>
          <cell r="C884" t="str">
            <v>OPEYEMI OLOWE</v>
          </cell>
          <cell r="D884" t="str">
            <v>Operations Support Specialist</v>
          </cell>
          <cell r="E884" t="str">
            <v>ISP Governance Presentation</v>
          </cell>
          <cell r="F884" t="str">
            <v>ISP Governance Presentation</v>
          </cell>
          <cell r="G884">
            <v>0.1</v>
          </cell>
          <cell r="H884">
            <v>0.1</v>
          </cell>
          <cell r="I884">
            <v>1</v>
          </cell>
          <cell r="J884" t="str">
            <v>Ensure ISP Governance slides is shared error free and on time</v>
          </cell>
          <cell r="L884" t="str">
            <v>MURTALA ABDULMUMIN</v>
          </cell>
        </row>
        <row r="885">
          <cell r="A885">
            <v>97</v>
          </cell>
          <cell r="B885" t="str">
            <v>PAT00006</v>
          </cell>
          <cell r="C885" t="str">
            <v>EFE  IGBAGBON</v>
          </cell>
          <cell r="D885" t="str">
            <v>Governance Lead</v>
          </cell>
          <cell r="E885" t="str">
            <v>Ensure 95% closure rate of problem tickets ( including 25 worst sites)</v>
          </cell>
          <cell r="F885" t="str">
            <v>Ensure 95% closure rate of problem tickets ( including 25 worst sites)</v>
          </cell>
          <cell r="G885">
            <v>0.15</v>
          </cell>
          <cell r="H885">
            <v>0.15</v>
          </cell>
          <cell r="I885" t="str">
            <v>&lt;70</v>
          </cell>
          <cell r="J885" t="str">
            <v>Ensure 95% closure rate of problem tickets ( including 25 worst sites)</v>
          </cell>
          <cell r="L885" t="str">
            <v>MURTALA ABDULMUMIN</v>
          </cell>
        </row>
        <row r="886">
          <cell r="A886">
            <v>97</v>
          </cell>
          <cell r="B886" t="str">
            <v>PAT00006</v>
          </cell>
          <cell r="C886" t="str">
            <v>EFE  IGBAGBON</v>
          </cell>
          <cell r="D886" t="str">
            <v>Governance Lead</v>
          </cell>
          <cell r="E886" t="str">
            <v>65% and above sites meeting PA &gt; 99.5% for all sites</v>
          </cell>
          <cell r="F886" t="str">
            <v>65% and above sites meeting PA &gt; 99.5%</v>
          </cell>
          <cell r="G886">
            <v>0.15</v>
          </cell>
          <cell r="H886">
            <v>0.15</v>
          </cell>
          <cell r="I886">
            <v>0.65</v>
          </cell>
          <cell r="J886" t="str">
            <v>65% and above sites meeting PA &gt; 99.5% for all sites</v>
          </cell>
          <cell r="L886" t="str">
            <v>MURTALA ABDULMUMIN</v>
          </cell>
        </row>
        <row r="887">
          <cell r="A887">
            <v>97</v>
          </cell>
          <cell r="B887" t="str">
            <v>PAT00006</v>
          </cell>
          <cell r="C887" t="str">
            <v>EFE  IGBAGBON</v>
          </cell>
          <cell r="D887" t="str">
            <v>Governance Lead</v>
          </cell>
          <cell r="E887" t="str">
            <v>70% and above sites meeting PA &gt; 99.5% for MTN &amp; Airtel</v>
          </cell>
          <cell r="F887" t="str">
            <v>70% and above sites meeting PA &gt; 99.5%</v>
          </cell>
          <cell r="G887">
            <v>0.15</v>
          </cell>
          <cell r="H887">
            <v>0.15</v>
          </cell>
          <cell r="I887">
            <v>0.65</v>
          </cell>
          <cell r="J887" t="str">
            <v>70% and above sites meeting PA &gt; 99.5% for MTN &amp; Airtel</v>
          </cell>
          <cell r="L887" t="str">
            <v>MURTALA ABDULMUMIN</v>
          </cell>
        </row>
        <row r="888">
          <cell r="A888">
            <v>97</v>
          </cell>
          <cell r="B888" t="str">
            <v>PAT00006</v>
          </cell>
          <cell r="C888" t="str">
            <v>EFE  IGBAGBON</v>
          </cell>
          <cell r="D888" t="str">
            <v>Governance Lead</v>
          </cell>
          <cell r="E888" t="str">
            <v>70% and above sites meeting PA &gt; 99.5% for high value/priority sites</v>
          </cell>
          <cell r="F888" t="str">
            <v>70% and above sites meeting PA &gt; 99.5% for high value/priority sites</v>
          </cell>
          <cell r="G888">
            <v>0.15</v>
          </cell>
          <cell r="H888">
            <v>0.2</v>
          </cell>
          <cell r="I888">
            <v>0.7</v>
          </cell>
          <cell r="J888" t="str">
            <v>70% and above sites meeting PA &gt; 99.5% for high value/priority sites</v>
          </cell>
          <cell r="L888" t="str">
            <v>MURTALA ABDULMUMIN</v>
          </cell>
        </row>
        <row r="889">
          <cell r="A889">
            <v>97</v>
          </cell>
          <cell r="B889" t="str">
            <v>PAT00006</v>
          </cell>
          <cell r="C889" t="str">
            <v>EFE  IGBAGBON</v>
          </cell>
          <cell r="D889" t="str">
            <v>Governance Lead</v>
          </cell>
          <cell r="E889" t="str">
            <v>Governance Tracking</v>
          </cell>
          <cell r="F889" t="str">
            <v>Governance Tracking</v>
          </cell>
          <cell r="G889">
            <v>0.15</v>
          </cell>
          <cell r="H889">
            <v>0.15</v>
          </cell>
          <cell r="I889">
            <v>0.8</v>
          </cell>
          <cell r="J889" t="str">
            <v>Achieve 80% closure of all action point with MS Vendor &amp; MNO</v>
          </cell>
          <cell r="L889" t="str">
            <v>MURTALA ABDULMUMIN</v>
          </cell>
        </row>
        <row r="890">
          <cell r="A890">
            <v>97</v>
          </cell>
          <cell r="B890" t="str">
            <v>PAT00006</v>
          </cell>
          <cell r="C890" t="str">
            <v>EFE  IGBAGBON</v>
          </cell>
          <cell r="D890" t="str">
            <v>Governance Lead</v>
          </cell>
          <cell r="E890" t="str">
            <v>Governance of MS Vendors</v>
          </cell>
          <cell r="F890" t="str">
            <v>Governance of MS Vendors</v>
          </cell>
          <cell r="G890">
            <v>0.2</v>
          </cell>
          <cell r="H890">
            <v>0.2</v>
          </cell>
          <cell r="I890">
            <v>3</v>
          </cell>
          <cell r="J890" t="str">
            <v xml:space="preserve">Achieve a minimum of 3 weekly governance meeting in a month with MS Vendors </v>
          </cell>
          <cell r="L890" t="str">
            <v>MURTALA ABDULMUMIN</v>
          </cell>
        </row>
        <row r="891">
          <cell r="A891">
            <v>97</v>
          </cell>
          <cell r="B891" t="str">
            <v>PAT00006</v>
          </cell>
          <cell r="C891" t="str">
            <v>EFE  IGBAGBON</v>
          </cell>
          <cell r="D891" t="str">
            <v>Governance Lead</v>
          </cell>
          <cell r="E891" t="str">
            <v>Governance with ISP &amp; Regulatory team</v>
          </cell>
          <cell r="F891" t="str">
            <v>Governance with ISP &amp; Regulatory team</v>
          </cell>
          <cell r="G891">
            <v>0.05</v>
          </cell>
          <cell r="H891">
            <v>0.05</v>
          </cell>
          <cell r="I891">
            <v>1</v>
          </cell>
          <cell r="J891" t="str">
            <v>Achieve a minimum of 1 governance meeting with regulatory &amp; ISP monhtly</v>
          </cell>
          <cell r="L891" t="str">
            <v>MURTALA ABDULMUMIN</v>
          </cell>
        </row>
        <row r="892">
          <cell r="A892">
            <v>98</v>
          </cell>
          <cell r="B892" t="str">
            <v>PAT00160</v>
          </cell>
          <cell r="C892" t="str">
            <v>CLEMENT OHWO</v>
          </cell>
          <cell r="D892" t="str">
            <v>NOC Engineer - Airtel SA</v>
          </cell>
          <cell r="E892" t="str">
            <v>NOC Ticket closure rate-Airtel</v>
          </cell>
          <cell r="F892" t="str">
            <v>NOC Ticket closure rate-Airtel</v>
          </cell>
          <cell r="G892">
            <v>0.3</v>
          </cell>
          <cell r="H892">
            <v>0.3</v>
          </cell>
          <cell r="I892">
            <v>0.9</v>
          </cell>
          <cell r="J892" t="str">
            <v>Ensure 90% Daily closure rate of Airtel tickets</v>
          </cell>
          <cell r="K892" t="str">
            <v>NOC</v>
          </cell>
          <cell r="L892" t="str">
            <v>MURTALA ABDULMUMIN</v>
          </cell>
        </row>
        <row r="893">
          <cell r="A893">
            <v>98</v>
          </cell>
          <cell r="B893" t="str">
            <v>PAT00160</v>
          </cell>
          <cell r="C893" t="str">
            <v>CLEMENT OHWO</v>
          </cell>
          <cell r="D893" t="str">
            <v>NOC Engineer - Airtel SA</v>
          </cell>
          <cell r="E893" t="str">
            <v>RCA Accuracy of tickets which matches the on- field actual root causes and resolution (e.g., Trip Breaker for over 2.5 hours is unacceptable or  Synchronization failure between Grid-DG, DG powered is not a correct RCA)</v>
          </cell>
          <cell r="F893" t="str">
            <v>RCA Accuracy of tickets which matches the on- field actual root causes and resolution (e.g., Trip Breaker for over 2.5 hours is unacceptable or  Synchronization failure between Grid-DG, DG powered is not a correct RCA)</v>
          </cell>
          <cell r="G893">
            <v>0.2</v>
          </cell>
          <cell r="H893">
            <v>0.2</v>
          </cell>
          <cell r="I893">
            <v>0.95</v>
          </cell>
          <cell r="J893" t="str">
            <v>Ensure 95% RCA accuracy rate of tickets which matches the on- field actual root causes and resolution</v>
          </cell>
          <cell r="K893" t="str">
            <v>NOC</v>
          </cell>
          <cell r="L893" t="str">
            <v>MURTALA ABDULMUMIN</v>
          </cell>
        </row>
        <row r="894">
          <cell r="A894">
            <v>98</v>
          </cell>
          <cell r="B894" t="str">
            <v>PAT00160</v>
          </cell>
          <cell r="C894" t="str">
            <v>CLEMENT OHWO</v>
          </cell>
          <cell r="D894" t="str">
            <v>NOC Engineer - Airtel SA</v>
          </cell>
          <cell r="E894" t="str">
            <v>70% and above sites meeting PA &gt; 99.5% for Airtel</v>
          </cell>
          <cell r="F894" t="str">
            <v>70% and above sites meeting PA &gt; 99.5% for Airtel</v>
          </cell>
          <cell r="G894">
            <v>0.1</v>
          </cell>
          <cell r="H894">
            <v>0.1</v>
          </cell>
          <cell r="I894">
            <v>0.65</v>
          </cell>
          <cell r="J894" t="str">
            <v>70% and above sites meeting PA &gt; 99.5% for Airtel</v>
          </cell>
          <cell r="K894" t="str">
            <v>NOC</v>
          </cell>
          <cell r="L894" t="str">
            <v>MURTALA ABDULMUMIN</v>
          </cell>
        </row>
        <row r="895">
          <cell r="A895">
            <v>98</v>
          </cell>
          <cell r="B895" t="str">
            <v>PAT00160</v>
          </cell>
          <cell r="C895" t="str">
            <v>CLEMENT OHWO</v>
          </cell>
          <cell r="D895" t="str">
            <v>NOC Engineer - Airtel SA</v>
          </cell>
          <cell r="E895" t="str">
            <v>Ensure average fault count &lt;28</v>
          </cell>
          <cell r="F895" t="str">
            <v>Ensure average fault count &lt;28</v>
          </cell>
          <cell r="G895">
            <v>0.1</v>
          </cell>
          <cell r="H895">
            <v>0.1</v>
          </cell>
          <cell r="I895" t="str">
            <v>&lt;28</v>
          </cell>
          <cell r="J895" t="str">
            <v>Ensure daily average fault count &lt;28</v>
          </cell>
          <cell r="K895" t="str">
            <v>NOC</v>
          </cell>
          <cell r="L895" t="str">
            <v>MURTALA ABDULMUMIN</v>
          </cell>
        </row>
        <row r="896">
          <cell r="A896">
            <v>98</v>
          </cell>
          <cell r="B896" t="str">
            <v>PAT00160</v>
          </cell>
          <cell r="C896" t="str">
            <v>CLEMENT OHWO</v>
          </cell>
          <cell r="D896" t="str">
            <v>NOC Engineer - Airtel SA</v>
          </cell>
          <cell r="E896" t="str">
            <v>Ensure MTTR &lt;90minutes</v>
          </cell>
          <cell r="F896" t="str">
            <v>Ensure MTTR &lt;90minutes</v>
          </cell>
          <cell r="G896">
            <v>0.1</v>
          </cell>
          <cell r="H896">
            <v>0.1</v>
          </cell>
          <cell r="I896" t="str">
            <v>&lt;90min</v>
          </cell>
          <cell r="J896" t="str">
            <v>Ensure MTTR &lt;90minutes</v>
          </cell>
          <cell r="K896" t="str">
            <v>NOC</v>
          </cell>
          <cell r="L896" t="str">
            <v>MURTALA ABDULMUMIN</v>
          </cell>
        </row>
        <row r="897">
          <cell r="A897">
            <v>98</v>
          </cell>
          <cell r="B897" t="str">
            <v>PAT00160</v>
          </cell>
          <cell r="C897" t="str">
            <v>CLEMENT OHWO</v>
          </cell>
          <cell r="D897" t="str">
            <v>NOC Engineer - Airtel SA</v>
          </cell>
          <cell r="E897" t="str">
            <v>Ensure reduction of Passive alarm count</v>
          </cell>
          <cell r="F897" t="str">
            <v>Ensure reduction of Passive alarm count</v>
          </cell>
          <cell r="G897">
            <v>0.1</v>
          </cell>
          <cell r="H897">
            <v>0.1</v>
          </cell>
          <cell r="I897">
            <v>0.01</v>
          </cell>
          <cell r="J897" t="str">
            <v>Ensure 1% Monthly reduction of Critical Passive alarm</v>
          </cell>
          <cell r="K897" t="str">
            <v>NOC</v>
          </cell>
          <cell r="L897" t="str">
            <v>MURTALA ABDULMUMIN</v>
          </cell>
        </row>
        <row r="898">
          <cell r="A898">
            <v>98</v>
          </cell>
          <cell r="B898" t="str">
            <v>PAT00160</v>
          </cell>
          <cell r="C898" t="str">
            <v>CLEMENT OHWO</v>
          </cell>
          <cell r="D898" t="str">
            <v>NOC Engineer - Airtel SA</v>
          </cell>
          <cell r="E898" t="str">
            <v>Ensure ISP tickets and outages are captured</v>
          </cell>
          <cell r="F898" t="str">
            <v>Ensure ISP tickets and outages are captured</v>
          </cell>
          <cell r="G898">
            <v>0.1</v>
          </cell>
          <cell r="H898">
            <v>0.1</v>
          </cell>
          <cell r="I898">
            <v>1</v>
          </cell>
          <cell r="J898" t="str">
            <v>Ensure 100%  ISP tickets and outages are captured on the service desk outage log</v>
          </cell>
          <cell r="K898" t="str">
            <v>NOC</v>
          </cell>
          <cell r="L898" t="str">
            <v>MURTALA ABDULMUMIN</v>
          </cell>
        </row>
        <row r="899">
          <cell r="A899">
            <v>99</v>
          </cell>
          <cell r="B899" t="str">
            <v>PAT00116</v>
          </cell>
          <cell r="C899" t="str">
            <v>AYOBAMI ADEDEJI</v>
          </cell>
          <cell r="D899" t="str">
            <v>NOC Engineer - Service Desk</v>
          </cell>
          <cell r="E899" t="str">
            <v>NOC Ticket closure rate MTN/Airtel/ISP</v>
          </cell>
          <cell r="F899" t="str">
            <v>NOC Ticket closure rate MTN/Airtel/ISP</v>
          </cell>
          <cell r="G899">
            <v>0.3</v>
          </cell>
          <cell r="H899">
            <v>0.3</v>
          </cell>
          <cell r="I899">
            <v>0.9</v>
          </cell>
          <cell r="J899" t="str">
            <v>Ensure 90% Daily closure rate of all outages (MTN/Airtel/ISP)</v>
          </cell>
          <cell r="K899" t="str">
            <v>NOC</v>
          </cell>
          <cell r="L899" t="str">
            <v>MURTALA ABDULMUMIN</v>
          </cell>
        </row>
        <row r="900">
          <cell r="A900">
            <v>99</v>
          </cell>
          <cell r="B900" t="str">
            <v>PAT00116</v>
          </cell>
          <cell r="C900" t="str">
            <v>AYOBAMI ADEDEJI</v>
          </cell>
          <cell r="D900" t="str">
            <v>NOC Engineer - Service Desk</v>
          </cell>
          <cell r="E900" t="str">
            <v>Prompt Hourly outage reporting</v>
          </cell>
          <cell r="F900" t="str">
            <v>Prompt Hourly outage reporting</v>
          </cell>
          <cell r="G900">
            <v>0.2</v>
          </cell>
          <cell r="H900">
            <v>0.2</v>
          </cell>
          <cell r="I900" t="str">
            <v>&lt;15 Mins</v>
          </cell>
          <cell r="J900" t="str">
            <v>Ensure not more than 15mins after the hour mark of hourly outage report</v>
          </cell>
          <cell r="K900" t="str">
            <v>NOC</v>
          </cell>
          <cell r="L900" t="str">
            <v>MURTALA ABDULMUMIN</v>
          </cell>
        </row>
        <row r="901">
          <cell r="A901">
            <v>99</v>
          </cell>
          <cell r="B901" t="str">
            <v>PAT00116</v>
          </cell>
          <cell r="C901" t="str">
            <v>AYOBAMI ADEDEJI</v>
          </cell>
          <cell r="D901" t="str">
            <v>NOC Engineer - Service Desk</v>
          </cell>
          <cell r="E901" t="str">
            <v>RCA Accuracy of tickets which matches the on- field actual root causes and resolution (e.g., Trip Breaker for over 2.5 hours is unacceptable or  Synchronization failure between Grid-DG, DG powered is not a correct RCA)</v>
          </cell>
          <cell r="F901" t="str">
            <v>RCA Accuracy of tickets which matches the on- field actual root causes and resolution (e.g., Trip Breaker for over 2.5 hours is unacceptable or  Synchronization failure between Grid-DG, DG powered is not a correct RCA)</v>
          </cell>
          <cell r="G901">
            <v>0.2</v>
          </cell>
          <cell r="H901">
            <v>0.2</v>
          </cell>
          <cell r="I901">
            <v>0.95</v>
          </cell>
          <cell r="J901" t="str">
            <v>Ensure 95% RCA accuracy rate of tickets which matches the on- field actual root causes and resolution</v>
          </cell>
          <cell r="K901" t="str">
            <v>NOC</v>
          </cell>
          <cell r="L901" t="str">
            <v>MURTALA ABDULMUMIN</v>
          </cell>
        </row>
        <row r="902">
          <cell r="A902">
            <v>99</v>
          </cell>
          <cell r="B902" t="str">
            <v>PAT00116</v>
          </cell>
          <cell r="C902" t="str">
            <v>AYOBAMI ADEDEJI</v>
          </cell>
          <cell r="D902" t="str">
            <v>NOC Engineer - Service Desk</v>
          </cell>
          <cell r="E902" t="str">
            <v>Ensure MTTR &lt;90minutes</v>
          </cell>
          <cell r="F902" t="str">
            <v>Ensure MTTR &lt;90minutes</v>
          </cell>
          <cell r="G902">
            <v>0.15</v>
          </cell>
          <cell r="H902">
            <v>0.15</v>
          </cell>
          <cell r="I902" t="str">
            <v>&lt;90min</v>
          </cell>
          <cell r="J902" t="str">
            <v>Ensure MTTR &lt;90minutes</v>
          </cell>
          <cell r="K902" t="str">
            <v>NOC</v>
          </cell>
          <cell r="L902" t="str">
            <v>MURTALA ABDULMUMIN</v>
          </cell>
        </row>
        <row r="903">
          <cell r="A903">
            <v>99</v>
          </cell>
          <cell r="B903" t="str">
            <v>PAT00116</v>
          </cell>
          <cell r="C903" t="str">
            <v>AYOBAMI ADEDEJI</v>
          </cell>
          <cell r="D903" t="str">
            <v>NOC Engineer - Service Desk</v>
          </cell>
          <cell r="E903" t="str">
            <v>Response to Customer escalation and field request</v>
          </cell>
          <cell r="F903" t="str">
            <v>Response to Customer escalation and field request</v>
          </cell>
          <cell r="G903">
            <v>0.15</v>
          </cell>
          <cell r="H903">
            <v>0.15</v>
          </cell>
          <cell r="I903" t="str">
            <v>1 hr</v>
          </cell>
          <cell r="J903" t="str">
            <v>Ensure 100% generation and monitoring to Access Refs and request to site within 1hr</v>
          </cell>
          <cell r="K903" t="str">
            <v>NOC</v>
          </cell>
          <cell r="L903" t="str">
            <v>MURTALA ABDULMUMIN</v>
          </cell>
        </row>
        <row r="904">
          <cell r="A904">
            <v>100</v>
          </cell>
          <cell r="B904" t="str">
            <v>PAT00111</v>
          </cell>
          <cell r="C904" t="str">
            <v>SANDRA UZOMA</v>
          </cell>
          <cell r="D904" t="str">
            <v>NOC Engineer - Service Desk</v>
          </cell>
          <cell r="E904" t="str">
            <v>NOC Ticket closure rate MTN/Airtel/ISP</v>
          </cell>
          <cell r="F904" t="str">
            <v>NOC Ticket closure rate MTN/Airtel/ISP</v>
          </cell>
          <cell r="G904">
            <v>0.3</v>
          </cell>
          <cell r="H904">
            <v>0.3</v>
          </cell>
          <cell r="I904">
            <v>0.9</v>
          </cell>
          <cell r="J904" t="str">
            <v>Ensure 90% Daily closure rate of all outages (MTN/Airtel/ISP)</v>
          </cell>
          <cell r="K904" t="str">
            <v>NOC</v>
          </cell>
          <cell r="L904" t="e">
            <v>#REF!</v>
          </cell>
        </row>
        <row r="905">
          <cell r="A905">
            <v>100</v>
          </cell>
          <cell r="B905" t="str">
            <v>PAT00111</v>
          </cell>
          <cell r="C905" t="str">
            <v>SANDRA UZOMA</v>
          </cell>
          <cell r="D905" t="str">
            <v>NOC Engineer - Service Desk</v>
          </cell>
          <cell r="E905" t="str">
            <v>Prompt Hourly outage reporting</v>
          </cell>
          <cell r="F905" t="str">
            <v>Prompt Hourly outage reporting</v>
          </cell>
          <cell r="G905">
            <v>0.2</v>
          </cell>
          <cell r="H905">
            <v>0.2</v>
          </cell>
          <cell r="I905" t="str">
            <v>&lt;15 Mins</v>
          </cell>
          <cell r="J905" t="str">
            <v>Ensure not more than 15mins after the hour mark of hourly outage report</v>
          </cell>
          <cell r="K905" t="str">
            <v>NOC</v>
          </cell>
          <cell r="L905" t="str">
            <v>MURTALA ABDULMUMIN</v>
          </cell>
        </row>
        <row r="906">
          <cell r="A906">
            <v>100</v>
          </cell>
          <cell r="B906" t="str">
            <v>PAT00111</v>
          </cell>
          <cell r="C906" t="str">
            <v>SANDRA UZOMA</v>
          </cell>
          <cell r="D906" t="str">
            <v>NOC Engineer - Service Desk</v>
          </cell>
          <cell r="E906" t="str">
            <v>RCA Accuracy of tickets which matches the on- field actual root causes and resolution (e.g., Trip Breaker for over 2.5 hours is unacceptable or  Synchronization failure between Grid-DG, DG powered is not a correct RCA)</v>
          </cell>
          <cell r="F906" t="str">
            <v>RCA Accuracy of tickets which matches the on- field actual root causes and resolution (e.g., Trip Breaker for over 2.5 hours is unacceptable or  Synchronization failure between Grid-DG, DG powered is not a correct RCA)</v>
          </cell>
          <cell r="G906">
            <v>0.2</v>
          </cell>
          <cell r="H906">
            <v>0.2</v>
          </cell>
          <cell r="I906">
            <v>0.95</v>
          </cell>
          <cell r="J906" t="str">
            <v>Ensure 95% RCA accuracy rate of tickets which matches the on- field actual root causes and resolution</v>
          </cell>
          <cell r="K906" t="str">
            <v>NOC</v>
          </cell>
          <cell r="L906" t="str">
            <v>MURTALA ABDULMUMIN</v>
          </cell>
        </row>
        <row r="907">
          <cell r="A907">
            <v>100</v>
          </cell>
          <cell r="B907" t="str">
            <v>PAT00111</v>
          </cell>
          <cell r="C907" t="str">
            <v>SANDRA UZOMA</v>
          </cell>
          <cell r="D907" t="str">
            <v>NOC Engineer - Service Desk</v>
          </cell>
          <cell r="E907" t="str">
            <v>Ensure MTTR &lt;90minutes</v>
          </cell>
          <cell r="F907" t="str">
            <v>Ensure MTTR &lt;90minutes</v>
          </cell>
          <cell r="G907">
            <v>0.15</v>
          </cell>
          <cell r="H907">
            <v>0.15</v>
          </cell>
          <cell r="I907" t="str">
            <v>&lt;90min</v>
          </cell>
          <cell r="J907" t="str">
            <v>Ensure MTTR &lt;90minutes</v>
          </cell>
          <cell r="K907" t="str">
            <v>NOC</v>
          </cell>
          <cell r="L907" t="str">
            <v>MURTALA ABDULMUMIN</v>
          </cell>
        </row>
        <row r="908">
          <cell r="A908">
            <v>100</v>
          </cell>
          <cell r="B908" t="str">
            <v>PAT00111</v>
          </cell>
          <cell r="C908" t="str">
            <v>SANDRA UZOMA</v>
          </cell>
          <cell r="D908" t="str">
            <v>NOC Engineer - Service Desk</v>
          </cell>
          <cell r="E908" t="str">
            <v>Response to Customer escalation and field request</v>
          </cell>
          <cell r="F908" t="str">
            <v>Response to Customer escalation and field request</v>
          </cell>
          <cell r="G908">
            <v>0.15</v>
          </cell>
          <cell r="H908">
            <v>0.15</v>
          </cell>
          <cell r="I908" t="str">
            <v>1 hr</v>
          </cell>
          <cell r="J908" t="str">
            <v>Ensure 100% generation and monitoring to Access Refs and request to site within 1hr</v>
          </cell>
          <cell r="K908" t="str">
            <v>NOC</v>
          </cell>
          <cell r="L908" t="str">
            <v>MURTALA ABDULMUMIN</v>
          </cell>
        </row>
        <row r="909">
          <cell r="A909">
            <v>101</v>
          </cell>
          <cell r="B909" t="str">
            <v>PAT00047</v>
          </cell>
          <cell r="C909" t="str">
            <v>YAZUN WINIFRED</v>
          </cell>
          <cell r="D909" t="str">
            <v>NOC Engineer - Service Desk</v>
          </cell>
          <cell r="E909" t="str">
            <v>NOC Ticket closure rate MTN/Airtel/ISP</v>
          </cell>
          <cell r="F909" t="str">
            <v>NOC Ticket closure rate MTN/Airtel/ISP</v>
          </cell>
          <cell r="G909">
            <v>0.3</v>
          </cell>
          <cell r="H909">
            <v>0.3</v>
          </cell>
          <cell r="I909">
            <v>0.9</v>
          </cell>
          <cell r="J909" t="str">
            <v>Ensure 90% Daily closure rate of all outages (MTN/Airtel/ISP)</v>
          </cell>
          <cell r="K909" t="str">
            <v>NOC</v>
          </cell>
          <cell r="L909" t="str">
            <v>MURTALA ABDULMUMIN</v>
          </cell>
        </row>
        <row r="910">
          <cell r="A910">
            <v>101</v>
          </cell>
          <cell r="B910" t="str">
            <v>PAT00047</v>
          </cell>
          <cell r="C910" t="str">
            <v>YAZUN WINIFRED</v>
          </cell>
          <cell r="D910" t="str">
            <v>NOC Engineer - Service Desk</v>
          </cell>
          <cell r="E910" t="str">
            <v>Prompt Hourly outage reporting</v>
          </cell>
          <cell r="F910" t="str">
            <v>Prompt Hourly outage reporting</v>
          </cell>
          <cell r="G910">
            <v>0.2</v>
          </cell>
          <cell r="H910">
            <v>0.2</v>
          </cell>
          <cell r="I910" t="str">
            <v>&lt;15 Mins</v>
          </cell>
          <cell r="J910" t="str">
            <v>Ensure not more than 15mins after the hour mark of hourly outage report</v>
          </cell>
          <cell r="K910" t="str">
            <v>NOC</v>
          </cell>
          <cell r="L910" t="str">
            <v>MURTALA ABDULMUMIN</v>
          </cell>
        </row>
        <row r="911">
          <cell r="A911">
            <v>101</v>
          </cell>
          <cell r="B911" t="str">
            <v>PAT00047</v>
          </cell>
          <cell r="C911" t="str">
            <v>YAZUN WINIFRED</v>
          </cell>
          <cell r="D911" t="str">
            <v>NOC Engineer - Service Desk</v>
          </cell>
          <cell r="E911" t="str">
            <v>RCA Accuracy of tickets which matches the on- field actual root causes and resolution (e.g., Trip Breaker for over 2.5 hours is unacceptable or  Synchronization failure between Grid-DG, DG powered is not a correct RCA)</v>
          </cell>
          <cell r="F911" t="str">
            <v>RCA Accuracy of tickets which matches the on- field actual root causes and resolution (e.g., Trip Breaker for over 2.5 hours is unacceptable or  Synchronization failure between Grid-DG, DG powered is not a correct RCA)</v>
          </cell>
          <cell r="G911">
            <v>0.2</v>
          </cell>
          <cell r="H911">
            <v>0.2</v>
          </cell>
          <cell r="I911">
            <v>0.95</v>
          </cell>
          <cell r="J911" t="str">
            <v>Ensure 95% RCA accuracy rate of tickets which matches the on- field actual root causes and resolution</v>
          </cell>
          <cell r="K911" t="str">
            <v>NOC</v>
          </cell>
          <cell r="L911" t="str">
            <v>MURTALA ABDULMUMIN</v>
          </cell>
        </row>
        <row r="912">
          <cell r="A912">
            <v>101</v>
          </cell>
          <cell r="B912" t="str">
            <v>PAT00047</v>
          </cell>
          <cell r="C912" t="str">
            <v>YAZUN WINIFRED</v>
          </cell>
          <cell r="D912" t="str">
            <v>NOC Engineer - Service Desk</v>
          </cell>
          <cell r="E912" t="str">
            <v>Ensure MTTR &lt;90minutes</v>
          </cell>
          <cell r="F912" t="str">
            <v>Ensure MTTR &lt;90minutes</v>
          </cell>
          <cell r="G912">
            <v>0.15</v>
          </cell>
          <cell r="H912">
            <v>0.15</v>
          </cell>
          <cell r="I912" t="str">
            <v>&lt;90min</v>
          </cell>
          <cell r="J912" t="str">
            <v>Ensure MTTR &lt;90minutes</v>
          </cell>
          <cell r="K912" t="str">
            <v>NOC</v>
          </cell>
          <cell r="L912" t="str">
            <v>MURTALA ABDULMUMIN</v>
          </cell>
        </row>
        <row r="913">
          <cell r="A913">
            <v>101</v>
          </cell>
          <cell r="B913" t="str">
            <v>PAT00047</v>
          </cell>
          <cell r="C913" t="str">
            <v>YAZUN WINIFRED</v>
          </cell>
          <cell r="D913" t="str">
            <v>NOC Engineer - Service Desk</v>
          </cell>
          <cell r="E913" t="str">
            <v>Response to Customer escalation and field request</v>
          </cell>
          <cell r="F913" t="str">
            <v>Response to Customer escalation and field request</v>
          </cell>
          <cell r="G913">
            <v>0.15</v>
          </cell>
          <cell r="H913">
            <v>0.15</v>
          </cell>
          <cell r="I913" t="str">
            <v>1 hr</v>
          </cell>
          <cell r="J913" t="str">
            <v>Ensure 100% generation and monitoring to Access Refs and request to site within 1hr</v>
          </cell>
          <cell r="K913" t="str">
            <v>NOC</v>
          </cell>
          <cell r="L913" t="str">
            <v>MURTALA ABDULMUMIN</v>
          </cell>
        </row>
        <row r="914">
          <cell r="A914">
            <v>102</v>
          </cell>
          <cell r="B914" t="str">
            <v>PAT00038</v>
          </cell>
          <cell r="C914" t="str">
            <v>CYNTHIA MADU</v>
          </cell>
          <cell r="D914" t="str">
            <v>NOC Engineer - Service Desk</v>
          </cell>
          <cell r="E914" t="str">
            <v>NOC Ticket closure rate MTN/Airtel/ISP</v>
          </cell>
          <cell r="F914" t="str">
            <v>NOC Ticket closure rate MTN/Airtel/ISP</v>
          </cell>
          <cell r="G914">
            <v>0.3</v>
          </cell>
          <cell r="H914">
            <v>0.3</v>
          </cell>
          <cell r="I914">
            <v>0.9</v>
          </cell>
          <cell r="J914" t="str">
            <v>Ensure 90% Daily closure rate of all outages (MTN/Airtel/ISP)</v>
          </cell>
          <cell r="K914" t="str">
            <v>NOC</v>
          </cell>
          <cell r="L914" t="str">
            <v>MURTALA ABDULMUMIN</v>
          </cell>
        </row>
        <row r="915">
          <cell r="A915">
            <v>102</v>
          </cell>
          <cell r="B915" t="str">
            <v>PAT00038</v>
          </cell>
          <cell r="C915" t="str">
            <v>CYNTHIA MADU</v>
          </cell>
          <cell r="D915" t="str">
            <v>NOC Engineer - Service Desk</v>
          </cell>
          <cell r="E915" t="str">
            <v>Prompt Hourly outage reporting</v>
          </cell>
          <cell r="F915" t="str">
            <v>Prompt Hourly outage reporting</v>
          </cell>
          <cell r="G915">
            <v>0.2</v>
          </cell>
          <cell r="H915">
            <v>0.2</v>
          </cell>
          <cell r="I915" t="str">
            <v>&lt;15 Mins</v>
          </cell>
          <cell r="J915" t="str">
            <v>Ensure not more than 15mins after the hour mark of hourly outage report</v>
          </cell>
          <cell r="K915" t="str">
            <v>NOC</v>
          </cell>
          <cell r="L915" t="str">
            <v>MURTALA ABDULMUMIN</v>
          </cell>
        </row>
        <row r="916">
          <cell r="A916">
            <v>102</v>
          </cell>
          <cell r="B916" t="str">
            <v>PAT00038</v>
          </cell>
          <cell r="C916" t="str">
            <v>CYNTHIA MADU</v>
          </cell>
          <cell r="D916" t="str">
            <v>NOC Engineer - Service Desk</v>
          </cell>
          <cell r="E916" t="str">
            <v>RCA Accuracy of tickets which matches the on- field actual root causes and resolution (e.g., Trip Breaker for over 2.5 hours is unacceptable or  Synchronization failure between Grid-DG, DG powered is not a correct RCA)</v>
          </cell>
          <cell r="F916" t="str">
            <v>RCA Accuracy of tickets which matches the on- field actual root causes and resolution (e.g., Trip Breaker for over 2.5 hours is unacceptable or  Synchronization failure between Grid-DG, DG powered is not a correct RCA)</v>
          </cell>
          <cell r="G916">
            <v>0.2</v>
          </cell>
          <cell r="H916">
            <v>0.2</v>
          </cell>
          <cell r="I916">
            <v>0.95</v>
          </cell>
          <cell r="J916" t="str">
            <v>Ensure 95% RCA accuracy rate of tickets which matches the on- field actual root causes and resolution</v>
          </cell>
          <cell r="K916" t="str">
            <v>NOC</v>
          </cell>
          <cell r="L916" t="str">
            <v>MURTALA ABDULMUMIN</v>
          </cell>
        </row>
        <row r="917">
          <cell r="A917">
            <v>102</v>
          </cell>
          <cell r="B917" t="str">
            <v>PAT00038</v>
          </cell>
          <cell r="C917" t="str">
            <v>CYNTHIA MADU</v>
          </cell>
          <cell r="D917" t="str">
            <v>NOC Engineer - Service Desk</v>
          </cell>
          <cell r="E917" t="str">
            <v>Ensure MTTR &lt;90minutes</v>
          </cell>
          <cell r="F917" t="str">
            <v>Ensure MTTR &lt;90minutes</v>
          </cell>
          <cell r="G917">
            <v>0.15</v>
          </cell>
          <cell r="H917">
            <v>0.15</v>
          </cell>
          <cell r="I917" t="str">
            <v>&lt;90min</v>
          </cell>
          <cell r="J917" t="str">
            <v>Ensure MTTR &lt;90minutes</v>
          </cell>
          <cell r="K917" t="str">
            <v>NOC</v>
          </cell>
          <cell r="L917" t="str">
            <v>MURTALA ABDULMUMIN</v>
          </cell>
        </row>
        <row r="918">
          <cell r="A918">
            <v>102</v>
          </cell>
          <cell r="B918" t="str">
            <v>PAT00038</v>
          </cell>
          <cell r="C918" t="str">
            <v>CYNTHIA MADU</v>
          </cell>
          <cell r="D918" t="str">
            <v>NOC Engineer - Service Desk</v>
          </cell>
          <cell r="E918" t="str">
            <v>Response to Customer escalation and field request</v>
          </cell>
          <cell r="F918" t="str">
            <v>Response to Customer escalation and field request</v>
          </cell>
          <cell r="G918">
            <v>0.15</v>
          </cell>
          <cell r="H918">
            <v>0.15</v>
          </cell>
          <cell r="I918" t="str">
            <v>1 hr</v>
          </cell>
          <cell r="J918" t="str">
            <v>Ensure 100% generation and monitoring to Access Refs and request to site within 1hr</v>
          </cell>
          <cell r="K918" t="str">
            <v>NOC</v>
          </cell>
          <cell r="L918" t="str">
            <v>MURTALA ABDULMUMIN</v>
          </cell>
        </row>
        <row r="919">
          <cell r="A919">
            <v>103</v>
          </cell>
          <cell r="B919" t="str">
            <v>PAT00039</v>
          </cell>
          <cell r="C919" t="str">
            <v>ODII EBUKA KELECHI</v>
          </cell>
          <cell r="D919" t="str">
            <v>NOC Engineer - Airtel SA</v>
          </cell>
          <cell r="E919" t="str">
            <v>NOC Ticket closure rate-Airtel</v>
          </cell>
          <cell r="F919" t="str">
            <v>NOC Ticket closure rate-Airtel</v>
          </cell>
          <cell r="G919">
            <v>0.3</v>
          </cell>
          <cell r="H919">
            <v>0.3</v>
          </cell>
          <cell r="I919">
            <v>0.9</v>
          </cell>
          <cell r="J919" t="str">
            <v>Ensure 90% Daily closure rate of Airtel tickets</v>
          </cell>
          <cell r="K919" t="str">
            <v>NOC</v>
          </cell>
          <cell r="L919" t="str">
            <v>MURTALA ABDULMUMIN</v>
          </cell>
        </row>
        <row r="920">
          <cell r="A920">
            <v>103</v>
          </cell>
          <cell r="B920" t="str">
            <v>PAT00039</v>
          </cell>
          <cell r="C920" t="str">
            <v>ODII EBUKA KELECHI</v>
          </cell>
          <cell r="D920" t="str">
            <v>NOC Engineer - Airtel SA</v>
          </cell>
          <cell r="E920" t="str">
            <v>RCA Accuracy of tickets which matches the on- field actual root causes and resolution (e.g., Trip Breaker for over 2.5 hours is unacceptable or  Synchronization failure between Grid-DG, DG powered is not a correct RCA)</v>
          </cell>
          <cell r="F920" t="str">
            <v>RCA Accuracy of tickets which matches the on- field actual root causes and resolution (e.g., Trip Breaker for over 2.5 hours is unacceptable or  Synchronization failure between Grid-DG, DG powered is not a correct RCA)</v>
          </cell>
          <cell r="G920">
            <v>0.2</v>
          </cell>
          <cell r="H920">
            <v>0.2</v>
          </cell>
          <cell r="I920">
            <v>0.95</v>
          </cell>
          <cell r="J920" t="str">
            <v>Ensure 95% RCA accuracy rate of tickets which matches the on- field actual root causes and resolution</v>
          </cell>
          <cell r="K920" t="str">
            <v>NOC</v>
          </cell>
          <cell r="L920" t="str">
            <v>MURTALA ABDULMUMIN</v>
          </cell>
        </row>
        <row r="921">
          <cell r="A921">
            <v>103</v>
          </cell>
          <cell r="B921" t="str">
            <v>PAT00039</v>
          </cell>
          <cell r="C921" t="str">
            <v>ODII EBUKA KELECHI</v>
          </cell>
          <cell r="D921" t="str">
            <v>NOC Engineer - Airtel SA</v>
          </cell>
          <cell r="E921" t="str">
            <v>70% and above sites meeting PA &gt; 99.5% for Airtel</v>
          </cell>
          <cell r="F921" t="str">
            <v>70% and above sites meeting PA &gt; 99.5% for Airtel</v>
          </cell>
          <cell r="G921">
            <v>0.1</v>
          </cell>
          <cell r="H921">
            <v>0.1</v>
          </cell>
          <cell r="I921">
            <v>0.65</v>
          </cell>
          <cell r="J921" t="str">
            <v>70% and above sites meeting PA &gt; 99.5% for Airtel</v>
          </cell>
          <cell r="K921" t="str">
            <v>NOC</v>
          </cell>
          <cell r="L921" t="str">
            <v>MURTALA ABDULMUMIN</v>
          </cell>
        </row>
        <row r="922">
          <cell r="A922">
            <v>103</v>
          </cell>
          <cell r="B922" t="str">
            <v>PAT00039</v>
          </cell>
          <cell r="C922" t="str">
            <v>ODII EBUKA KELECHI</v>
          </cell>
          <cell r="D922" t="str">
            <v>NOC Engineer - Airtel SA</v>
          </cell>
          <cell r="E922" t="str">
            <v>Ensure average fault count &lt;28</v>
          </cell>
          <cell r="F922" t="str">
            <v>Ensure average fault count &lt;28</v>
          </cell>
          <cell r="G922">
            <v>0.1</v>
          </cell>
          <cell r="H922">
            <v>0.1</v>
          </cell>
          <cell r="I922" t="str">
            <v>&lt;28</v>
          </cell>
          <cell r="J922" t="str">
            <v>Ensure daily average fault count &lt;28</v>
          </cell>
          <cell r="K922" t="str">
            <v>NOC</v>
          </cell>
          <cell r="L922" t="str">
            <v>MURTALA ABDULMUMIN</v>
          </cell>
        </row>
        <row r="923">
          <cell r="A923">
            <v>103</v>
          </cell>
          <cell r="B923" t="str">
            <v>PAT00039</v>
          </cell>
          <cell r="C923" t="str">
            <v>ODII EBUKA KELECHI</v>
          </cell>
          <cell r="D923" t="str">
            <v>NOC Engineer - Airtel SA</v>
          </cell>
          <cell r="E923" t="str">
            <v>Ensure MTTR &lt;90minutes</v>
          </cell>
          <cell r="F923" t="str">
            <v>Ensure MTTR &lt;90minutes</v>
          </cell>
          <cell r="G923">
            <v>0.1</v>
          </cell>
          <cell r="H923">
            <v>0.1</v>
          </cell>
          <cell r="I923" t="str">
            <v>&lt;90min</v>
          </cell>
          <cell r="J923" t="str">
            <v>Ensure MTTR &lt;90minutes</v>
          </cell>
          <cell r="K923" t="str">
            <v>NOC</v>
          </cell>
          <cell r="L923" t="str">
            <v>MURTALA ABDULMUMIN</v>
          </cell>
        </row>
        <row r="924">
          <cell r="A924">
            <v>103</v>
          </cell>
          <cell r="B924" t="str">
            <v>PAT00039</v>
          </cell>
          <cell r="C924" t="str">
            <v>ODII EBUKA KELECHI</v>
          </cell>
          <cell r="D924" t="str">
            <v>NOC Engineer - Airtel SA</v>
          </cell>
          <cell r="E924" t="str">
            <v>Ensure reduction of Passive alarm count</v>
          </cell>
          <cell r="F924" t="str">
            <v>Ensure reduction of Passive alarm count</v>
          </cell>
          <cell r="G924">
            <v>0.1</v>
          </cell>
          <cell r="H924">
            <v>0.1</v>
          </cell>
          <cell r="I924">
            <v>0.01</v>
          </cell>
          <cell r="J924" t="str">
            <v>Ensure 1% Monthly reduction of Critical Passive alarm</v>
          </cell>
          <cell r="K924" t="str">
            <v>NOC</v>
          </cell>
          <cell r="L924" t="str">
            <v>MURTALA ABDULMUMIN</v>
          </cell>
        </row>
        <row r="925">
          <cell r="A925">
            <v>103</v>
          </cell>
          <cell r="B925" t="str">
            <v>PAT00039</v>
          </cell>
          <cell r="C925" t="str">
            <v>ODII EBUKA KELECHI</v>
          </cell>
          <cell r="D925" t="str">
            <v>NOC Engineer - Airtel SA</v>
          </cell>
          <cell r="E925" t="str">
            <v>Ensure ISP tickets and outages are captured</v>
          </cell>
          <cell r="F925" t="str">
            <v>Ensure ISP tickets and outages are captured</v>
          </cell>
          <cell r="G925">
            <v>0.1</v>
          </cell>
          <cell r="H925">
            <v>0.1</v>
          </cell>
          <cell r="I925">
            <v>1</v>
          </cell>
          <cell r="J925" t="str">
            <v>Ensure 100%  ISP tickets and outages are captured on the service desk outage log</v>
          </cell>
          <cell r="K925" t="str">
            <v>NOC</v>
          </cell>
          <cell r="L925" t="str">
            <v>MURTALA ABDULMUMIN</v>
          </cell>
        </row>
        <row r="926">
          <cell r="A926">
            <v>104</v>
          </cell>
          <cell r="B926" t="str">
            <v>PAT00013</v>
          </cell>
          <cell r="C926" t="str">
            <v>JEREMIAH UNUEKOKIGHO</v>
          </cell>
          <cell r="D926" t="str">
            <v>NOC Engineer - Airtel SA</v>
          </cell>
          <cell r="E926" t="str">
            <v>NOC Ticket closure rate-Airtel</v>
          </cell>
          <cell r="F926" t="str">
            <v>NOC Ticket closure rate-Airtel</v>
          </cell>
          <cell r="G926">
            <v>0.3</v>
          </cell>
          <cell r="H926">
            <v>0.3</v>
          </cell>
          <cell r="I926">
            <v>0.9</v>
          </cell>
          <cell r="J926" t="str">
            <v>Ensure 90% Daily closure rate of Airtel tickets</v>
          </cell>
          <cell r="K926" t="str">
            <v>NOC</v>
          </cell>
          <cell r="L926" t="str">
            <v>MURTALA ABDULMUMIN</v>
          </cell>
        </row>
        <row r="927">
          <cell r="A927">
            <v>104</v>
          </cell>
          <cell r="B927" t="str">
            <v>PAT00013</v>
          </cell>
          <cell r="C927" t="str">
            <v>JEREMIAH UNUEKOKIGHO</v>
          </cell>
          <cell r="D927" t="str">
            <v>NOC Engineer - Airtel SA</v>
          </cell>
          <cell r="E927" t="str">
            <v>RCA Accuracy of tickets which matches the on- field actual root causes and resolution (e.g., Trip Breaker for over 2.5 hours is unacceptable or  Synchronization failure between Grid-DG, DG powered is not a correct RCA)</v>
          </cell>
          <cell r="F927" t="str">
            <v>RCA Accuracy of tickets which matches the on- field actual root causes and resolution (e.g., Trip Breaker for over 2.5 hours is unacceptable or  Synchronization failure between Grid-DG, DG powered is not a correct RCA)</v>
          </cell>
          <cell r="G927">
            <v>0.2</v>
          </cell>
          <cell r="H927">
            <v>0.2</v>
          </cell>
          <cell r="I927">
            <v>0.95</v>
          </cell>
          <cell r="J927" t="str">
            <v>Ensure 95% RCA accuracy rate of tickets which matches the on- field actual root causes and resolution</v>
          </cell>
          <cell r="K927" t="str">
            <v>NOC</v>
          </cell>
          <cell r="L927" t="str">
            <v>MURTALA ABDULMUMIN</v>
          </cell>
        </row>
        <row r="928">
          <cell r="A928">
            <v>104</v>
          </cell>
          <cell r="B928" t="str">
            <v>PAT00013</v>
          </cell>
          <cell r="C928" t="str">
            <v>JEREMIAH UNUEKOKIGHO</v>
          </cell>
          <cell r="D928" t="str">
            <v>NOC Engineer - Airtel SA</v>
          </cell>
          <cell r="E928" t="str">
            <v>70% and above sites meeting PA &gt; 99.5% for Airtel</v>
          </cell>
          <cell r="F928" t="str">
            <v>70% and above sites meeting PA &gt; 99.5% for Airtel</v>
          </cell>
          <cell r="G928">
            <v>0.1</v>
          </cell>
          <cell r="H928">
            <v>0.1</v>
          </cell>
          <cell r="I928">
            <v>0.65</v>
          </cell>
          <cell r="J928" t="str">
            <v>70% and above sites meeting PA &gt; 99.5% for Airtel</v>
          </cell>
          <cell r="K928" t="str">
            <v>NOC</v>
          </cell>
          <cell r="L928" t="str">
            <v>MURTALA ABDULMUMIN</v>
          </cell>
        </row>
        <row r="929">
          <cell r="A929">
            <v>104</v>
          </cell>
          <cell r="B929" t="str">
            <v>PAT00013</v>
          </cell>
          <cell r="C929" t="str">
            <v>JEREMIAH UNUEKOKIGHO</v>
          </cell>
          <cell r="D929" t="str">
            <v>NOC Engineer - Airtel SA</v>
          </cell>
          <cell r="E929" t="str">
            <v>Ensure average fault count &lt;28</v>
          </cell>
          <cell r="F929" t="str">
            <v>Ensure average fault count &lt;28</v>
          </cell>
          <cell r="G929">
            <v>0.1</v>
          </cell>
          <cell r="H929">
            <v>0.1</v>
          </cell>
          <cell r="I929" t="str">
            <v>&lt;28</v>
          </cell>
          <cell r="J929" t="str">
            <v>Ensure daily average fault count &lt;28</v>
          </cell>
          <cell r="K929" t="str">
            <v>NOC</v>
          </cell>
          <cell r="L929" t="str">
            <v>MURTALA ABDULMUMIN</v>
          </cell>
        </row>
        <row r="930">
          <cell r="A930">
            <v>104</v>
          </cell>
          <cell r="B930" t="str">
            <v>PAT00013</v>
          </cell>
          <cell r="C930" t="str">
            <v>JEREMIAH UNUEKOKIGHO</v>
          </cell>
          <cell r="D930" t="str">
            <v>NOC Engineer - Airtel SA</v>
          </cell>
          <cell r="E930" t="str">
            <v>Ensure MTTR &lt;90minutes</v>
          </cell>
          <cell r="F930" t="str">
            <v>Ensure MTTR &lt;90minutes</v>
          </cell>
          <cell r="G930">
            <v>0.1</v>
          </cell>
          <cell r="H930">
            <v>0.1</v>
          </cell>
          <cell r="I930" t="str">
            <v>&lt;90min</v>
          </cell>
          <cell r="J930" t="str">
            <v>Ensure MTTR &lt;90minutes</v>
          </cell>
          <cell r="K930" t="str">
            <v>NOC</v>
          </cell>
          <cell r="L930" t="str">
            <v>MURTALA ABDULMUMIN</v>
          </cell>
        </row>
        <row r="931">
          <cell r="A931">
            <v>104</v>
          </cell>
          <cell r="B931" t="str">
            <v>PAT00013</v>
          </cell>
          <cell r="C931" t="str">
            <v>JEREMIAH UNUEKOKIGHO</v>
          </cell>
          <cell r="D931" t="str">
            <v>NOC Engineer - Airtel SA</v>
          </cell>
          <cell r="E931" t="str">
            <v>Ensure reduction of Passive alarm count</v>
          </cell>
          <cell r="F931" t="str">
            <v>Ensure reduction of Passive alarm count</v>
          </cell>
          <cell r="G931">
            <v>0.1</v>
          </cell>
          <cell r="H931">
            <v>0.1</v>
          </cell>
          <cell r="I931">
            <v>0.01</v>
          </cell>
          <cell r="J931" t="str">
            <v>Ensure 1% Monthly reduction of Critical Passive alarm</v>
          </cell>
          <cell r="K931" t="str">
            <v>NOC</v>
          </cell>
          <cell r="L931" t="str">
            <v>MURTALA ABDULMUMIN</v>
          </cell>
        </row>
        <row r="932">
          <cell r="A932">
            <v>104</v>
          </cell>
          <cell r="B932" t="str">
            <v>PAT00013</v>
          </cell>
          <cell r="C932" t="str">
            <v>JEREMIAH UNUEKOKIGHO</v>
          </cell>
          <cell r="D932" t="str">
            <v>NOC Engineer - Airtel SA</v>
          </cell>
          <cell r="E932" t="str">
            <v>Ensure ISP tickets and outages are captured</v>
          </cell>
          <cell r="F932" t="str">
            <v>Ensure ISP tickets and outages are captured</v>
          </cell>
          <cell r="G932">
            <v>0.1</v>
          </cell>
          <cell r="H932">
            <v>0.1</v>
          </cell>
          <cell r="I932">
            <v>1</v>
          </cell>
          <cell r="J932" t="str">
            <v>Ensure 100%  ISP tickets and outages are captured on the service desk outage log</v>
          </cell>
          <cell r="K932" t="str">
            <v>NOC</v>
          </cell>
          <cell r="L932" t="str">
            <v>MURTALA ABDULMUMIN</v>
          </cell>
        </row>
        <row r="933">
          <cell r="A933">
            <v>105</v>
          </cell>
          <cell r="B933" t="str">
            <v>PAT00040</v>
          </cell>
          <cell r="C933" t="str">
            <v>FATAI ABOGUNLOKO</v>
          </cell>
          <cell r="D933" t="str">
            <v>NOC Engineer - Airtel SA</v>
          </cell>
          <cell r="E933" t="str">
            <v>NOC Ticket closure rate-Airtel</v>
          </cell>
          <cell r="F933" t="str">
            <v>NOC Ticket closure rate-Airtel</v>
          </cell>
          <cell r="G933">
            <v>0.3</v>
          </cell>
          <cell r="H933">
            <v>0.3</v>
          </cell>
          <cell r="I933">
            <v>0.9</v>
          </cell>
          <cell r="J933" t="str">
            <v>Ensure 90% Daily closure rate of Airtel tickets</v>
          </cell>
          <cell r="K933" t="str">
            <v>NOC</v>
          </cell>
          <cell r="L933" t="str">
            <v>MURTALA ABDULMUMIN</v>
          </cell>
        </row>
        <row r="934">
          <cell r="A934">
            <v>105</v>
          </cell>
          <cell r="B934" t="str">
            <v>PAT00040</v>
          </cell>
          <cell r="C934" t="str">
            <v>FATAI ABOGUNLOKO</v>
          </cell>
          <cell r="D934" t="str">
            <v>NOC Engineer - Airtel SA</v>
          </cell>
          <cell r="E934" t="str">
            <v>RCA Accuracy of tickets which matches the on- field actual root causes and resolution (e.g., Trip Breaker for over 2.5 hours is unacceptable or  Synchronization failure between Grid-DG, DG powered is not a correct RCA)</v>
          </cell>
          <cell r="F934" t="str">
            <v>RCA Accuracy of tickets which matches the on- field actual root causes and resolution (e.g., Trip Breaker for over 2.5 hours is unacceptable or  Synchronization failure between Grid-DG, DG powered is not a correct RCA)</v>
          </cell>
          <cell r="G934">
            <v>0.2</v>
          </cell>
          <cell r="H934">
            <v>0.2</v>
          </cell>
          <cell r="I934">
            <v>0.95</v>
          </cell>
          <cell r="J934" t="str">
            <v>Ensure 95% RCA accuracy rate of tickets which matches the on- field actual root causes and resolution</v>
          </cell>
          <cell r="K934" t="str">
            <v>NOC</v>
          </cell>
          <cell r="L934" t="str">
            <v>MURTALA ABDULMUMIN</v>
          </cell>
        </row>
        <row r="935">
          <cell r="A935">
            <v>105</v>
          </cell>
          <cell r="B935" t="str">
            <v>PAT00040</v>
          </cell>
          <cell r="C935" t="str">
            <v>FATAI ABOGUNLOKO</v>
          </cell>
          <cell r="D935" t="str">
            <v>NOC Engineer - Airtel SA</v>
          </cell>
          <cell r="E935" t="str">
            <v>70% and above sites meeting PA &gt; 99.5% for Airtel</v>
          </cell>
          <cell r="F935" t="str">
            <v>70% and above sites meeting PA &gt; 99.5% for Airtel</v>
          </cell>
          <cell r="G935">
            <v>0.1</v>
          </cell>
          <cell r="H935">
            <v>0.1</v>
          </cell>
          <cell r="I935">
            <v>0.65</v>
          </cell>
          <cell r="J935" t="str">
            <v>70% and above sites meeting PA &gt; 99.5% for Airtel</v>
          </cell>
          <cell r="K935" t="str">
            <v>NOC</v>
          </cell>
          <cell r="L935" t="str">
            <v>MURTALA ABDULMUMIN</v>
          </cell>
        </row>
        <row r="936">
          <cell r="A936">
            <v>105</v>
          </cell>
          <cell r="B936" t="str">
            <v>PAT00040</v>
          </cell>
          <cell r="C936" t="str">
            <v>FATAI ABOGUNLOKO</v>
          </cell>
          <cell r="D936" t="str">
            <v>NOC Engineer - Airtel SA</v>
          </cell>
          <cell r="E936" t="str">
            <v>Ensure average fault count &lt;28</v>
          </cell>
          <cell r="F936" t="str">
            <v>Ensure average fault count &lt;28</v>
          </cell>
          <cell r="G936">
            <v>0.1</v>
          </cell>
          <cell r="H936">
            <v>0.1</v>
          </cell>
          <cell r="I936" t="str">
            <v>&lt;28</v>
          </cell>
          <cell r="J936" t="str">
            <v>Ensure daily average fault count &lt;28</v>
          </cell>
          <cell r="K936" t="str">
            <v>NOC</v>
          </cell>
          <cell r="L936" t="str">
            <v>MURTALA ABDULMUMIN</v>
          </cell>
        </row>
        <row r="937">
          <cell r="A937">
            <v>105</v>
          </cell>
          <cell r="B937" t="str">
            <v>PAT00040</v>
          </cell>
          <cell r="C937" t="str">
            <v>FATAI ABOGUNLOKO</v>
          </cell>
          <cell r="D937" t="str">
            <v>NOC Engineer - Airtel SA</v>
          </cell>
          <cell r="E937" t="str">
            <v>Ensure MTTR &lt;90minutes</v>
          </cell>
          <cell r="F937" t="str">
            <v>Ensure MTTR &lt;90minutes</v>
          </cell>
          <cell r="G937">
            <v>0.1</v>
          </cell>
          <cell r="H937">
            <v>0.1</v>
          </cell>
          <cell r="I937" t="str">
            <v>&lt;90min</v>
          </cell>
          <cell r="J937" t="str">
            <v>Ensure MTTR &lt;90minutes</v>
          </cell>
          <cell r="K937" t="str">
            <v>NOC</v>
          </cell>
          <cell r="L937" t="str">
            <v>MURTALA ABDULMUMIN</v>
          </cell>
        </row>
        <row r="938">
          <cell r="A938">
            <v>105</v>
          </cell>
          <cell r="B938" t="str">
            <v>PAT00040</v>
          </cell>
          <cell r="C938" t="str">
            <v>FATAI ABOGUNLOKO</v>
          </cell>
          <cell r="D938" t="str">
            <v>NOC Engineer - Airtel SA</v>
          </cell>
          <cell r="E938" t="str">
            <v>Ensure reduction of Passive alarm count</v>
          </cell>
          <cell r="F938" t="str">
            <v>Ensure reduction of Passive alarm count</v>
          </cell>
          <cell r="G938">
            <v>0.1</v>
          </cell>
          <cell r="H938">
            <v>0.1</v>
          </cell>
          <cell r="I938">
            <v>0.01</v>
          </cell>
          <cell r="J938" t="str">
            <v>Ensure 1% Monthly reduction of Critical Passive alarm</v>
          </cell>
          <cell r="K938" t="str">
            <v>NOC</v>
          </cell>
          <cell r="L938" t="str">
            <v>MURTALA ABDULMUMIN</v>
          </cell>
        </row>
        <row r="939">
          <cell r="A939">
            <v>105</v>
          </cell>
          <cell r="B939" t="str">
            <v>PAT00040</v>
          </cell>
          <cell r="C939" t="str">
            <v>FATAI ABOGUNLOKO</v>
          </cell>
          <cell r="D939" t="str">
            <v>NOC Engineer - Airtel SA</v>
          </cell>
          <cell r="E939" t="str">
            <v>Ensure ISP tickets and outages are captured</v>
          </cell>
          <cell r="F939" t="str">
            <v>Ensure ISP tickets and outages are captured</v>
          </cell>
          <cell r="G939">
            <v>0.1</v>
          </cell>
          <cell r="H939">
            <v>0.1</v>
          </cell>
          <cell r="I939">
            <v>1</v>
          </cell>
          <cell r="J939" t="str">
            <v>Ensure 100%  ISP tickets and outages are captured on the service desk outage log</v>
          </cell>
          <cell r="K939" t="str">
            <v>NOC</v>
          </cell>
          <cell r="L939" t="str">
            <v>MURTALA ABDULMUMIN</v>
          </cell>
        </row>
        <row r="940">
          <cell r="A940">
            <v>106</v>
          </cell>
          <cell r="B940" t="str">
            <v>PAT00119</v>
          </cell>
          <cell r="C940" t="str">
            <v>OLUWAGBEMIGA ADEBAYO</v>
          </cell>
          <cell r="D940" t="str">
            <v>NOC Engineer - RMS</v>
          </cell>
          <cell r="E940" t="str">
            <v>NOC Ticket closure rate-Alarm</v>
          </cell>
          <cell r="F940" t="str">
            <v>NOC Ticket closure rate-Alarm</v>
          </cell>
          <cell r="G940">
            <v>0.3</v>
          </cell>
          <cell r="H940">
            <v>0.3</v>
          </cell>
          <cell r="I940">
            <v>0.9</v>
          </cell>
          <cell r="J940" t="str">
            <v>Ensure 90% Daily closure rate of alarms</v>
          </cell>
          <cell r="K940" t="str">
            <v>NOC</v>
          </cell>
          <cell r="L940" t="str">
            <v>MURTALA ABDULMUMIN</v>
          </cell>
        </row>
        <row r="941">
          <cell r="A941">
            <v>106</v>
          </cell>
          <cell r="B941" t="str">
            <v>PAT00119</v>
          </cell>
          <cell r="C941" t="str">
            <v>OLUWAGBEMIGA ADEBAYO</v>
          </cell>
          <cell r="D941" t="str">
            <v>NOC Engineer - RMS</v>
          </cell>
          <cell r="E941" t="str">
            <v>Remote Monitoring System (RMS) installed and Connected for 100% of new and existing sites</v>
          </cell>
          <cell r="F941" t="str">
            <v>Remote Monitoring System (RMS) installed and Connected for 100% of new and existing sites</v>
          </cell>
          <cell r="G941">
            <v>0.2</v>
          </cell>
          <cell r="H941">
            <v>0.2</v>
          </cell>
          <cell r="I941">
            <v>0.8</v>
          </cell>
          <cell r="J941" t="str">
            <v>Ensure 80% Green (All RMS sensor are fine) for all New and Existing sites</v>
          </cell>
          <cell r="K941" t="str">
            <v>NOC</v>
          </cell>
          <cell r="L941" t="str">
            <v>MURTALA ABDULMUMIN</v>
          </cell>
        </row>
        <row r="942">
          <cell r="A942">
            <v>106</v>
          </cell>
          <cell r="B942" t="str">
            <v>PAT00119</v>
          </cell>
          <cell r="C942" t="str">
            <v>OLUWAGBEMIGA ADEBAYO</v>
          </cell>
          <cell r="D942" t="str">
            <v>NOC Engineer - RMS</v>
          </cell>
          <cell r="E942" t="str">
            <v>Reduction of Diesel Drop Alarms</v>
          </cell>
          <cell r="F942" t="str">
            <v>Reduction of Diesel Drop Alarms</v>
          </cell>
          <cell r="G942">
            <v>0.15</v>
          </cell>
          <cell r="H942">
            <v>0.15</v>
          </cell>
          <cell r="I942">
            <v>0.98</v>
          </cell>
          <cell r="J942" t="str">
            <v>Ensure 98% Closure rate of Diesel Drop alarms</v>
          </cell>
          <cell r="K942" t="str">
            <v>NOC</v>
          </cell>
          <cell r="L942" t="str">
            <v>MURTALA ABDULMUMIN</v>
          </cell>
        </row>
        <row r="943">
          <cell r="A943">
            <v>106</v>
          </cell>
          <cell r="B943" t="str">
            <v>PAT00119</v>
          </cell>
          <cell r="C943" t="str">
            <v>OLUWAGBEMIGA ADEBAYO</v>
          </cell>
          <cell r="D943" t="str">
            <v>NOC Engineer - RMS</v>
          </cell>
          <cell r="E943" t="str">
            <v>Diesel Supply Management through RMS</v>
          </cell>
          <cell r="F943" t="str">
            <v>Diesel Supply Management through RMS</v>
          </cell>
          <cell r="G943">
            <v>0.15</v>
          </cell>
          <cell r="H943">
            <v>0.15</v>
          </cell>
          <cell r="I943">
            <v>1</v>
          </cell>
          <cell r="J943" t="str">
            <v>Ensure 100% Diesel Supply and Supplimentry Refs are captured with Initial and supplied volumes for all RMS connected sites</v>
          </cell>
          <cell r="K943" t="str">
            <v>NOC</v>
          </cell>
          <cell r="L943" t="str">
            <v>MURTALA ABDULMUMIN</v>
          </cell>
        </row>
        <row r="944">
          <cell r="A944">
            <v>106</v>
          </cell>
          <cell r="B944" t="str">
            <v>PAT00119</v>
          </cell>
          <cell r="C944" t="str">
            <v>OLUWAGBEMIGA ADEBAYO</v>
          </cell>
          <cell r="D944" t="str">
            <v>NOC Engineer - RMS</v>
          </cell>
          <cell r="E944" t="str">
            <v>RCA Accuracy of tickets which matches the on- field actual root causes and resolution (e.g., Trip Breaker for over 2.5 hours is unacceptable or  Synchronization failure between Grid-DG, DG powered is not a correct RCA)</v>
          </cell>
          <cell r="F944" t="str">
            <v>RCA Accuracy of tickets which matches the on- field actual root causes and resolution (e.g., Trip Breaker for over 2.5 hours is unacceptable or  Synchronization failure between Grid-DG, DG powered is not a correct RCA)</v>
          </cell>
          <cell r="G944">
            <v>0.1</v>
          </cell>
          <cell r="H944">
            <v>0.1</v>
          </cell>
          <cell r="I944">
            <v>0.95</v>
          </cell>
          <cell r="J944" t="str">
            <v>Ensure 95% RCA accuracy rate of tickets which matches the on- field actual root causes and resolution</v>
          </cell>
          <cell r="K944" t="str">
            <v>NOC</v>
          </cell>
          <cell r="L944" t="str">
            <v>MURTALA ABDULMUMIN</v>
          </cell>
        </row>
        <row r="945">
          <cell r="A945">
            <v>106</v>
          </cell>
          <cell r="B945" t="str">
            <v>PAT00119</v>
          </cell>
          <cell r="C945" t="str">
            <v>OLUWAGBEMIGA ADEBAYO</v>
          </cell>
          <cell r="D945" t="str">
            <v>NOC Engineer - RMS</v>
          </cell>
          <cell r="E945" t="str">
            <v>RMS Availability</v>
          </cell>
          <cell r="F945" t="str">
            <v>RMS Availability</v>
          </cell>
          <cell r="G945">
            <v>0.1</v>
          </cell>
          <cell r="H945">
            <v>0.1</v>
          </cell>
          <cell r="I945">
            <v>0.95</v>
          </cell>
          <cell r="J945" t="str">
            <v>Ensure all RMS Disconnected alarms are captured to achieve 95% Connection of all RMS Sites</v>
          </cell>
          <cell r="K945" t="str">
            <v>NOC</v>
          </cell>
          <cell r="L945" t="str">
            <v>MURTALA ABDULMUMIN</v>
          </cell>
        </row>
        <row r="946">
          <cell r="A946">
            <v>107</v>
          </cell>
          <cell r="B946" t="str">
            <v>PAT00161</v>
          </cell>
          <cell r="C946" t="str">
            <v>GIFT MICHAEL</v>
          </cell>
          <cell r="D946" t="str">
            <v>NOC Engineer - RMS</v>
          </cell>
          <cell r="E946" t="str">
            <v>NOC Ticket closure rate-Alarm</v>
          </cell>
          <cell r="F946" t="str">
            <v>NOC Ticket closure rate-Alarm</v>
          </cell>
          <cell r="G946">
            <v>0.3</v>
          </cell>
          <cell r="H946">
            <v>0.3</v>
          </cell>
          <cell r="I946">
            <v>0.9</v>
          </cell>
          <cell r="J946" t="str">
            <v>Ensure 90% Daily closure rate of alarms</v>
          </cell>
          <cell r="K946" t="str">
            <v>NOC</v>
          </cell>
          <cell r="L946" t="str">
            <v>MURTALA ABDULMUMIN</v>
          </cell>
        </row>
        <row r="947">
          <cell r="A947">
            <v>107</v>
          </cell>
          <cell r="B947" t="str">
            <v>PAT00161</v>
          </cell>
          <cell r="C947" t="str">
            <v>GIFT MICHAEL</v>
          </cell>
          <cell r="D947" t="str">
            <v>NOC Engineer - RMS</v>
          </cell>
          <cell r="E947" t="str">
            <v>Remote Monitoring System (RMS) installed and Connected for 100% of new and existing sites</v>
          </cell>
          <cell r="F947" t="str">
            <v>Remote Monitoring System (RMS) installed and Connected for 100% of new and existing sites</v>
          </cell>
          <cell r="G947">
            <v>0.2</v>
          </cell>
          <cell r="H947">
            <v>0.2</v>
          </cell>
          <cell r="I947">
            <v>0.8</v>
          </cell>
          <cell r="J947" t="str">
            <v>Ensure 80% Green (All RMS sensor are fine) for all New and Existing sites</v>
          </cell>
          <cell r="K947" t="str">
            <v>NOC</v>
          </cell>
          <cell r="L947" t="str">
            <v>MURTALA ABDULMUMIN</v>
          </cell>
        </row>
        <row r="948">
          <cell r="A948">
            <v>107</v>
          </cell>
          <cell r="B948" t="str">
            <v>PAT00161</v>
          </cell>
          <cell r="C948" t="str">
            <v>GIFT MICHAEL</v>
          </cell>
          <cell r="D948" t="str">
            <v>NOC Engineer - RMS</v>
          </cell>
          <cell r="E948" t="str">
            <v>Reduction of Diesel Drop Alarms</v>
          </cell>
          <cell r="F948" t="str">
            <v>Reduction of Diesel Drop Alarms</v>
          </cell>
          <cell r="G948">
            <v>0.15</v>
          </cell>
          <cell r="H948">
            <v>0.15</v>
          </cell>
          <cell r="I948">
            <v>0.98</v>
          </cell>
          <cell r="J948" t="str">
            <v>Ensure 98% Closure rate of Diesel Drop alarms</v>
          </cell>
          <cell r="K948" t="str">
            <v>NOC</v>
          </cell>
          <cell r="L948" t="str">
            <v>MURTALA ABDULMUMIN</v>
          </cell>
        </row>
        <row r="949">
          <cell r="A949">
            <v>107</v>
          </cell>
          <cell r="B949" t="str">
            <v>PAT00161</v>
          </cell>
          <cell r="C949" t="str">
            <v>GIFT MICHAEL</v>
          </cell>
          <cell r="D949" t="str">
            <v>NOC Engineer - RMS</v>
          </cell>
          <cell r="E949" t="str">
            <v>Diesel Supply Management through RMS</v>
          </cell>
          <cell r="F949" t="str">
            <v>Diesel Supply Management through RMS</v>
          </cell>
          <cell r="G949">
            <v>0.15</v>
          </cell>
          <cell r="H949">
            <v>0.15</v>
          </cell>
          <cell r="I949">
            <v>1</v>
          </cell>
          <cell r="J949" t="str">
            <v>Ensure 100% Diesel Supply and Supplimentry Refs are captured with Initial and supplied volumes for all RMS connected sites</v>
          </cell>
          <cell r="K949" t="str">
            <v>NOC</v>
          </cell>
          <cell r="L949" t="str">
            <v>MURTALA ABDULMUMIN</v>
          </cell>
        </row>
        <row r="950">
          <cell r="A950">
            <v>107</v>
          </cell>
          <cell r="B950" t="str">
            <v>PAT00161</v>
          </cell>
          <cell r="C950" t="str">
            <v>GIFT MICHAEL</v>
          </cell>
          <cell r="D950" t="str">
            <v>NOC Engineer - RMS</v>
          </cell>
          <cell r="E950" t="str">
            <v>RCA Accuracy of tickets which matches the on- field actual root causes and resolution (e.g., Trip Breaker for over 2.5 hours is unacceptable or  Synchronization failure between Grid-DG, DG powered is not a correct RCA)</v>
          </cell>
          <cell r="F950" t="str">
            <v>RCA Accuracy of tickets which matches the on- field actual root causes and resolution (e.g., Trip Breaker for over 2.5 hours is unacceptable or  Synchronization failure between Grid-DG, DG powered is not a correct RCA)</v>
          </cell>
          <cell r="G950">
            <v>0.1</v>
          </cell>
          <cell r="H950">
            <v>0.1</v>
          </cell>
          <cell r="I950">
            <v>0.95</v>
          </cell>
          <cell r="J950" t="str">
            <v>Ensure 95% RCA accuracy rate of tickets which matches the on- field actual root causes and resolution</v>
          </cell>
          <cell r="K950" t="str">
            <v>NOC</v>
          </cell>
          <cell r="L950" t="str">
            <v>MURTALA ABDULMUMIN</v>
          </cell>
        </row>
        <row r="951">
          <cell r="A951">
            <v>107</v>
          </cell>
          <cell r="B951" t="str">
            <v>PAT00161</v>
          </cell>
          <cell r="C951" t="str">
            <v>GIFT MICHAEL</v>
          </cell>
          <cell r="D951" t="str">
            <v>NOC Engineer - RMS</v>
          </cell>
          <cell r="E951" t="str">
            <v>RMS Availability</v>
          </cell>
          <cell r="F951" t="str">
            <v>RMS Availability</v>
          </cell>
          <cell r="G951">
            <v>0.1</v>
          </cell>
          <cell r="H951">
            <v>0.1</v>
          </cell>
          <cell r="I951">
            <v>0.95</v>
          </cell>
          <cell r="J951" t="str">
            <v>Ensure all RMS Disconnected alarms are captured to achieve 95% Connection of all RMS Sites</v>
          </cell>
          <cell r="K951" t="str">
            <v>NOC</v>
          </cell>
          <cell r="L951" t="str">
            <v>MURTALA ABDULMUMIN</v>
          </cell>
        </row>
        <row r="952">
          <cell r="A952">
            <v>108</v>
          </cell>
          <cell r="B952" t="str">
            <v>PAT00118</v>
          </cell>
          <cell r="C952" t="str">
            <v>MATTHEW ADEBAYO</v>
          </cell>
          <cell r="D952" t="str">
            <v>NOC Engineer - RMS</v>
          </cell>
          <cell r="E952" t="str">
            <v>NOC Ticket closure rate-Alarm</v>
          </cell>
          <cell r="F952" t="str">
            <v>NOC Ticket closure rate-Alarm</v>
          </cell>
          <cell r="G952">
            <v>0.3</v>
          </cell>
          <cell r="H952">
            <v>0.3</v>
          </cell>
          <cell r="I952">
            <v>0.9</v>
          </cell>
          <cell r="J952" t="str">
            <v>Ensure 90% Daily closure rate of alarms</v>
          </cell>
          <cell r="K952" t="str">
            <v>NOC</v>
          </cell>
          <cell r="L952" t="str">
            <v>MURTALA ABDULMUMIN</v>
          </cell>
        </row>
        <row r="953">
          <cell r="A953">
            <v>108</v>
          </cell>
          <cell r="B953" t="str">
            <v>PAT00118</v>
          </cell>
          <cell r="C953" t="str">
            <v>MATTHEW ADEBAYO</v>
          </cell>
          <cell r="D953" t="str">
            <v>NOC Engineer - RMS</v>
          </cell>
          <cell r="E953" t="str">
            <v>Remote Monitoring System (RMS) installed and Connected for 100% of new and existing sites</v>
          </cell>
          <cell r="F953" t="str">
            <v>Remote Monitoring System (RMS) installed and Connected for 100% of new and existing sites</v>
          </cell>
          <cell r="G953">
            <v>0.2</v>
          </cell>
          <cell r="H953">
            <v>0.2</v>
          </cell>
          <cell r="I953">
            <v>0.8</v>
          </cell>
          <cell r="J953" t="str">
            <v>Ensure 80% Green (All RMS sensor are fine) for all New and Existing sites</v>
          </cell>
          <cell r="K953" t="str">
            <v>NOC</v>
          </cell>
          <cell r="L953" t="str">
            <v>MURTALA ABDULMUMIN</v>
          </cell>
        </row>
        <row r="954">
          <cell r="A954">
            <v>108</v>
          </cell>
          <cell r="B954" t="str">
            <v>PAT00118</v>
          </cell>
          <cell r="C954" t="str">
            <v>MATTHEW ADEBAYO</v>
          </cell>
          <cell r="D954" t="str">
            <v>NOC Engineer - RMS</v>
          </cell>
          <cell r="E954" t="str">
            <v>Reduction of Diesel Drop Alarms</v>
          </cell>
          <cell r="F954" t="str">
            <v>Reduction of Diesel Drop Alarms</v>
          </cell>
          <cell r="G954">
            <v>0.15</v>
          </cell>
          <cell r="H954">
            <v>0.15</v>
          </cell>
          <cell r="I954">
            <v>0.98</v>
          </cell>
          <cell r="J954" t="str">
            <v>Ensure 98% Closure rate of Diesel Drop alarms</v>
          </cell>
          <cell r="K954" t="str">
            <v>NOC</v>
          </cell>
          <cell r="L954" t="str">
            <v>MURTALA ABDULMUMIN</v>
          </cell>
        </row>
        <row r="955">
          <cell r="A955">
            <v>108</v>
          </cell>
          <cell r="B955" t="str">
            <v>PAT00118</v>
          </cell>
          <cell r="C955" t="str">
            <v>MATTHEW ADEBAYO</v>
          </cell>
          <cell r="D955" t="str">
            <v>NOC Engineer - RMS</v>
          </cell>
          <cell r="E955" t="str">
            <v>Diesel Supply Management through RMS</v>
          </cell>
          <cell r="F955" t="str">
            <v>Diesel Supply Management through RMS</v>
          </cell>
          <cell r="G955">
            <v>0.15</v>
          </cell>
          <cell r="H955">
            <v>0.15</v>
          </cell>
          <cell r="I955">
            <v>1</v>
          </cell>
          <cell r="J955" t="str">
            <v>Ensure 100% Diesel Supply and Supplimentry Refs are captured with Initial and supplied volumes for all RMS connected sites</v>
          </cell>
          <cell r="K955" t="str">
            <v>NOC</v>
          </cell>
          <cell r="L955" t="str">
            <v>MURTALA ABDULMUMIN</v>
          </cell>
        </row>
        <row r="956">
          <cell r="A956">
            <v>108</v>
          </cell>
          <cell r="B956" t="str">
            <v>PAT00118</v>
          </cell>
          <cell r="C956" t="str">
            <v>MATTHEW ADEBAYO</v>
          </cell>
          <cell r="D956" t="str">
            <v>NOC Engineer - RMS</v>
          </cell>
          <cell r="E956" t="str">
            <v>RCA Accuracy of tickets which matches the on- field actual root causes and resolution (e.g., Trip Breaker for over 2.5 hours is unacceptable or  Synchronization failure between Grid-DG, DG powered is not a correct RCA)</v>
          </cell>
          <cell r="F956" t="str">
            <v>RCA Accuracy of tickets which matches the on- field actual root causes and resolution (e.g., Trip Breaker for over 2.5 hours is unacceptable or  Synchronization failure between Grid-DG, DG powered is not a correct RCA)</v>
          </cell>
          <cell r="G956">
            <v>0.1</v>
          </cell>
          <cell r="H956">
            <v>0.1</v>
          </cell>
          <cell r="I956">
            <v>0.95</v>
          </cell>
          <cell r="J956" t="str">
            <v>Ensure 95% RCA accuracy rate of tickets which matches the on- field actual root causes and resolution</v>
          </cell>
          <cell r="K956" t="str">
            <v>NOC</v>
          </cell>
          <cell r="L956" t="str">
            <v>MURTALA ABDULMUMIN</v>
          </cell>
        </row>
        <row r="957">
          <cell r="A957">
            <v>108</v>
          </cell>
          <cell r="B957" t="str">
            <v>PAT00118</v>
          </cell>
          <cell r="C957" t="str">
            <v>MATTHEW ADEBAYO</v>
          </cell>
          <cell r="D957" t="str">
            <v>NOC Engineer - RMS</v>
          </cell>
          <cell r="E957" t="str">
            <v>RMS Availability</v>
          </cell>
          <cell r="F957" t="str">
            <v>RMS Availability</v>
          </cell>
          <cell r="G957">
            <v>0.1</v>
          </cell>
          <cell r="H957">
            <v>0.1</v>
          </cell>
          <cell r="I957">
            <v>0.95</v>
          </cell>
          <cell r="J957" t="str">
            <v>Ensure all RMS Disconnected alarms are captured to achieve 95% Connection of all RMS Sites</v>
          </cell>
          <cell r="K957" t="str">
            <v>NOC</v>
          </cell>
          <cell r="L957" t="str">
            <v>MURTALA ABDULMUMIN</v>
          </cell>
        </row>
        <row r="958">
          <cell r="A958">
            <v>109</v>
          </cell>
          <cell r="B958" t="str">
            <v>PAT00165</v>
          </cell>
          <cell r="C958" t="str">
            <v>CHIOMA NWOKOLO</v>
          </cell>
          <cell r="D958" t="str">
            <v>NOC Engineer - RMS</v>
          </cell>
          <cell r="E958" t="str">
            <v>NOC Ticket closure rate-Alarm</v>
          </cell>
          <cell r="F958" t="str">
            <v>NOC Ticket closure rate-Alarm</v>
          </cell>
          <cell r="G958">
            <v>0.3</v>
          </cell>
          <cell r="H958">
            <v>0.3</v>
          </cell>
          <cell r="I958">
            <v>0.9</v>
          </cell>
          <cell r="J958" t="str">
            <v>Ensure 90% Daily closure rate of alarms</v>
          </cell>
          <cell r="K958" t="str">
            <v>NOC</v>
          </cell>
          <cell r="L958" t="str">
            <v>MURTALA ABDULMUMIN</v>
          </cell>
        </row>
        <row r="959">
          <cell r="A959">
            <v>109</v>
          </cell>
          <cell r="B959" t="str">
            <v>PAT00165</v>
          </cell>
          <cell r="C959" t="str">
            <v>CHIOMA NWOKOLO</v>
          </cell>
          <cell r="D959" t="str">
            <v>NOC Engineer - RMS</v>
          </cell>
          <cell r="E959" t="str">
            <v>Remote Monitoring System (RMS) installed and Connected for 100% of new and existing sites</v>
          </cell>
          <cell r="F959" t="str">
            <v>Remote Monitoring System (RMS) installed and Connected for 100% of new and existing sites</v>
          </cell>
          <cell r="G959">
            <v>0.2</v>
          </cell>
          <cell r="H959">
            <v>0.2</v>
          </cell>
          <cell r="I959">
            <v>0.8</v>
          </cell>
          <cell r="J959" t="str">
            <v>Ensure 80% Green (All RMS sensor are fine) for all New and Existing sites</v>
          </cell>
          <cell r="K959" t="str">
            <v>NOC</v>
          </cell>
          <cell r="L959" t="str">
            <v>MURTALA ABDULMUMIN</v>
          </cell>
        </row>
        <row r="960">
          <cell r="A960">
            <v>109</v>
          </cell>
          <cell r="B960" t="str">
            <v>PAT00165</v>
          </cell>
          <cell r="C960" t="str">
            <v>CHIOMA NWOKOLO</v>
          </cell>
          <cell r="D960" t="str">
            <v>NOC Engineer - RMS</v>
          </cell>
          <cell r="E960" t="str">
            <v>Reduction of Diesel Drop Alarms</v>
          </cell>
          <cell r="F960" t="str">
            <v>Reduction of Diesel Drop Alarms</v>
          </cell>
          <cell r="G960">
            <v>0.15</v>
          </cell>
          <cell r="H960">
            <v>0.15</v>
          </cell>
          <cell r="I960">
            <v>0.98</v>
          </cell>
          <cell r="J960" t="str">
            <v>Ensure 98% Closure rate of Diesel Drop alarms</v>
          </cell>
          <cell r="K960" t="str">
            <v>NOC</v>
          </cell>
          <cell r="L960" t="str">
            <v>MURTALA ABDULMUMIN</v>
          </cell>
        </row>
        <row r="961">
          <cell r="A961">
            <v>109</v>
          </cell>
          <cell r="B961" t="str">
            <v>PAT00165</v>
          </cell>
          <cell r="C961" t="str">
            <v>CHIOMA NWOKOLO</v>
          </cell>
          <cell r="D961" t="str">
            <v>NOC Engineer - RMS</v>
          </cell>
          <cell r="E961" t="str">
            <v>Diesel Supply Management through RMS</v>
          </cell>
          <cell r="F961" t="str">
            <v>Diesel Supply Management through RMS</v>
          </cell>
          <cell r="G961">
            <v>0.15</v>
          </cell>
          <cell r="H961">
            <v>0.15</v>
          </cell>
          <cell r="I961">
            <v>1</v>
          </cell>
          <cell r="J961" t="str">
            <v>Ensure 100% Diesel Supply and Supplimentry Refs are captured with Initial and supplied volumes for all RMS connected sites</v>
          </cell>
          <cell r="K961" t="str">
            <v>NOC</v>
          </cell>
          <cell r="L961" t="str">
            <v>MURTALA ABDULMUMIN</v>
          </cell>
        </row>
        <row r="962">
          <cell r="A962">
            <v>109</v>
          </cell>
          <cell r="B962" t="str">
            <v>PAT00165</v>
          </cell>
          <cell r="C962" t="str">
            <v>CHIOMA NWOKOLO</v>
          </cell>
          <cell r="D962" t="str">
            <v>NOC Engineer - RMS</v>
          </cell>
          <cell r="E962" t="str">
            <v>RCA Accuracy of tickets which matches the on- field actual root causes and resolution (e.g., Trip Breaker for over 2.5 hours is unacceptable or  Synchronization failure between Grid-DG, DG powered is not a correct RCA)</v>
          </cell>
          <cell r="F962" t="str">
            <v>RCA Accuracy of tickets which matches the on- field actual root causes and resolution (e.g., Trip Breaker for over 2.5 hours is unacceptable or  Synchronization failure between Grid-DG, DG powered is not a correct RCA)</v>
          </cell>
          <cell r="G962">
            <v>0.1</v>
          </cell>
          <cell r="H962">
            <v>0.1</v>
          </cell>
          <cell r="I962">
            <v>0.95</v>
          </cell>
          <cell r="J962" t="str">
            <v>Ensure 95% RCA accuracy rate of tickets which matches the on- field actual root causes and resolution</v>
          </cell>
          <cell r="K962" t="str">
            <v>NOC</v>
          </cell>
          <cell r="L962" t="str">
            <v>MURTALA ABDULMUMIN</v>
          </cell>
        </row>
        <row r="963">
          <cell r="A963">
            <v>109</v>
          </cell>
          <cell r="B963" t="str">
            <v>PAT00165</v>
          </cell>
          <cell r="C963" t="str">
            <v>CHIOMA NWOKOLO</v>
          </cell>
          <cell r="D963" t="str">
            <v>NOC Engineer - RMS</v>
          </cell>
          <cell r="E963" t="str">
            <v>RMS Availability</v>
          </cell>
          <cell r="F963" t="str">
            <v>RMS Availability</v>
          </cell>
          <cell r="G963">
            <v>0.1</v>
          </cell>
          <cell r="H963">
            <v>0.1</v>
          </cell>
          <cell r="I963">
            <v>0.95</v>
          </cell>
          <cell r="J963" t="str">
            <v>Ensure all RMS Disconnected alarms are captured to achieve 95% Connection of all RMS Sites</v>
          </cell>
          <cell r="K963" t="str">
            <v>NOC</v>
          </cell>
          <cell r="L963" t="str">
            <v>MURTALA ABDULMUMIN</v>
          </cell>
        </row>
        <row r="964">
          <cell r="A964">
            <v>110</v>
          </cell>
          <cell r="B964" t="str">
            <v>PAT00042</v>
          </cell>
          <cell r="C964" t="str">
            <v>OBALOLUWA ADELEKE</v>
          </cell>
          <cell r="D964" t="str">
            <v>NOC Engineer - MTN SA</v>
          </cell>
          <cell r="E964" t="str">
            <v>NOC Ticket closure rate-MTN</v>
          </cell>
          <cell r="F964" t="str">
            <v>NOC Ticket closure rate-MTN</v>
          </cell>
          <cell r="G964">
            <v>0.3</v>
          </cell>
          <cell r="H964">
            <v>0.3</v>
          </cell>
          <cell r="I964">
            <v>0.7</v>
          </cell>
          <cell r="J964" t="str">
            <v>Ensure 90% Daily closure rate of MTN tickets</v>
          </cell>
          <cell r="K964" t="str">
            <v>NOC</v>
          </cell>
          <cell r="L964" t="str">
            <v>MURTALA ABDULMUMIN</v>
          </cell>
        </row>
        <row r="965">
          <cell r="A965">
            <v>110</v>
          </cell>
          <cell r="B965" t="str">
            <v>PAT00042</v>
          </cell>
          <cell r="C965" t="str">
            <v>OBALOLUWA ADELEKE</v>
          </cell>
          <cell r="D965" t="str">
            <v>NOC Engineer - MTN SA</v>
          </cell>
          <cell r="E965" t="str">
            <v>RCA Accuracy of tickets which matches the on- field actual root causes and resolution (e.g., Trip Breaker for over 2.5 hours is unacceptable or  Synchronization failure between Grid-DG, DG powered is not a correct RCA)</v>
          </cell>
          <cell r="F965" t="str">
            <v>RCA Accuracy of tickets which matches the on- field actual root causes and resolution (e.g., Trip Breaker for over 2.5 hours is unacceptable or  Synchronization failure between Grid-DG, DG powered is not a correct RCA)</v>
          </cell>
          <cell r="G965">
            <v>0.2</v>
          </cell>
          <cell r="H965">
            <v>0.2</v>
          </cell>
          <cell r="I965">
            <v>0.95</v>
          </cell>
          <cell r="J965" t="str">
            <v>Ensure 95% RCA accuracy rate of tickets which matches the on- field actual root causes and resolution</v>
          </cell>
          <cell r="K965" t="str">
            <v>NOC</v>
          </cell>
          <cell r="L965" t="str">
            <v>MURTALA ABDULMUMIN</v>
          </cell>
        </row>
        <row r="966">
          <cell r="A966">
            <v>110</v>
          </cell>
          <cell r="B966" t="str">
            <v>PAT00042</v>
          </cell>
          <cell r="C966" t="str">
            <v>OBALOLUWA ADELEKE</v>
          </cell>
          <cell r="D966" t="str">
            <v>NOC Engineer - MTN SA</v>
          </cell>
          <cell r="E966" t="str">
            <v>65% and above sites meeting PA &gt; 99.5% for MTN</v>
          </cell>
          <cell r="F966" t="str">
            <v>65% and above sites meeting PA &gt; 99.5% for MTN</v>
          </cell>
          <cell r="G966">
            <v>0.15</v>
          </cell>
          <cell r="H966">
            <v>0.15</v>
          </cell>
          <cell r="I966">
            <v>0.65</v>
          </cell>
          <cell r="J966" t="str">
            <v>65% and above sites meeting PA &gt; 99.5% for MTN</v>
          </cell>
          <cell r="K966" t="str">
            <v>NOC</v>
          </cell>
          <cell r="L966" t="str">
            <v>MURTALA ABDULMUMIN</v>
          </cell>
        </row>
        <row r="967">
          <cell r="A967">
            <v>110</v>
          </cell>
          <cell r="B967" t="str">
            <v>PAT00042</v>
          </cell>
          <cell r="C967" t="str">
            <v>OBALOLUWA ADELEKE</v>
          </cell>
          <cell r="D967" t="str">
            <v>NOC Engineer - MTN SA</v>
          </cell>
          <cell r="E967" t="str">
            <v>Ensure average fault count &lt;41</v>
          </cell>
          <cell r="F967" t="str">
            <v>Ensure average fault count &lt;41</v>
          </cell>
          <cell r="G967">
            <v>0.15</v>
          </cell>
          <cell r="H967">
            <v>0.15</v>
          </cell>
          <cell r="I967" t="str">
            <v>&lt;41</v>
          </cell>
          <cell r="J967" t="str">
            <v>Ensure average fault count &lt;41</v>
          </cell>
          <cell r="K967" t="str">
            <v>NOC</v>
          </cell>
          <cell r="L967" t="str">
            <v>MURTALA ABDULMUMIN</v>
          </cell>
        </row>
        <row r="968">
          <cell r="A968">
            <v>110</v>
          </cell>
          <cell r="B968" t="str">
            <v>PAT00042</v>
          </cell>
          <cell r="C968" t="str">
            <v>OBALOLUWA ADELEKE</v>
          </cell>
          <cell r="D968" t="str">
            <v>NOC Engineer - MTN SA</v>
          </cell>
          <cell r="E968" t="str">
            <v>Ensure MTTR &lt;90minutes</v>
          </cell>
          <cell r="F968" t="str">
            <v>Ensure MTTR &lt;90minutes</v>
          </cell>
          <cell r="G968">
            <v>0.1</v>
          </cell>
          <cell r="H968">
            <v>0.1</v>
          </cell>
          <cell r="I968" t="str">
            <v>&lt;90min</v>
          </cell>
          <cell r="J968" t="str">
            <v>Ensure MTTR &lt;120minutes</v>
          </cell>
          <cell r="K968" t="str">
            <v>NOC</v>
          </cell>
          <cell r="L968" t="str">
            <v>MURTALA ABDULMUMIN</v>
          </cell>
        </row>
        <row r="969">
          <cell r="A969">
            <v>110</v>
          </cell>
          <cell r="B969" t="str">
            <v>PAT00042</v>
          </cell>
          <cell r="C969" t="str">
            <v>OBALOLUWA ADELEKE</v>
          </cell>
          <cell r="D969" t="str">
            <v>NOC Engineer - MTN SA</v>
          </cell>
          <cell r="E969" t="str">
            <v>Ensure reduction of Passive alarm count</v>
          </cell>
          <cell r="F969" t="str">
            <v>Ensure reduction of Passive alarm count</v>
          </cell>
          <cell r="G969">
            <v>0.1</v>
          </cell>
          <cell r="H969">
            <v>0.1</v>
          </cell>
          <cell r="I969">
            <v>0.01</v>
          </cell>
          <cell r="J969" t="str">
            <v>Ensure 1% Monthly reduction of Critical Passive alarm</v>
          </cell>
          <cell r="K969" t="str">
            <v>NOC</v>
          </cell>
          <cell r="L969" t="str">
            <v>MURTALA ABDULMUMIN</v>
          </cell>
        </row>
        <row r="970">
          <cell r="A970">
            <v>111</v>
          </cell>
          <cell r="B970" t="str">
            <v>PAT00043</v>
          </cell>
          <cell r="C970" t="str">
            <v>OLUWASEUN AJAYI</v>
          </cell>
          <cell r="D970" t="str">
            <v>NOC Engineer - MTN SA</v>
          </cell>
          <cell r="E970" t="str">
            <v>NOC Ticket closure rate-MTN</v>
          </cell>
          <cell r="F970" t="str">
            <v>NOC Ticket closure rate-MTN</v>
          </cell>
          <cell r="G970">
            <v>0.3</v>
          </cell>
          <cell r="H970">
            <v>0.3</v>
          </cell>
          <cell r="I970">
            <v>0.7</v>
          </cell>
          <cell r="J970" t="str">
            <v>Ensure 90% Daily closure rate of MTN tickets</v>
          </cell>
          <cell r="K970" t="str">
            <v>NOC</v>
          </cell>
          <cell r="L970" t="str">
            <v>MURTALA ABDULMUMIN</v>
          </cell>
        </row>
        <row r="971">
          <cell r="A971">
            <v>111</v>
          </cell>
          <cell r="B971" t="str">
            <v>PAT00043</v>
          </cell>
          <cell r="C971" t="str">
            <v>OLUWASEUN AJAYI</v>
          </cell>
          <cell r="D971" t="str">
            <v>NOC Engineer - MTN SA</v>
          </cell>
          <cell r="E971" t="str">
            <v>RCA Accuracy of tickets which matches the on- field actual root causes and resolution (e.g., Trip Breaker for over 2.5 hours is unacceptable or  Synchronization failure between Grid-DG, DG powered is not a correct RCA)</v>
          </cell>
          <cell r="F971" t="str">
            <v>RCA Accuracy of tickets which matches the on- field actual root causes and resolution (e.g., Trip Breaker for over 2.5 hours is unacceptable or  Synchronization failure between Grid-DG, DG powered is not a correct RCA)</v>
          </cell>
          <cell r="G971">
            <v>0.2</v>
          </cell>
          <cell r="H971">
            <v>0.2</v>
          </cell>
          <cell r="I971">
            <v>0.95</v>
          </cell>
          <cell r="J971" t="str">
            <v>Ensure 95% RCA accuracy rate of tickets which matches the on- field actual root causes and resolution</v>
          </cell>
          <cell r="K971" t="str">
            <v>NOC</v>
          </cell>
          <cell r="L971" t="str">
            <v>MURTALA ABDULMUMIN</v>
          </cell>
        </row>
        <row r="972">
          <cell r="A972">
            <v>111</v>
          </cell>
          <cell r="B972" t="str">
            <v>PAT00043</v>
          </cell>
          <cell r="C972" t="str">
            <v>OLUWASEUN AJAYI</v>
          </cell>
          <cell r="D972" t="str">
            <v>NOC Engineer - MTN SA</v>
          </cell>
          <cell r="E972" t="str">
            <v>65% and above sites meeting PA &gt; 99.5% for MTN</v>
          </cell>
          <cell r="F972" t="str">
            <v>65% and above sites meeting PA &gt; 99.5% for MTN</v>
          </cell>
          <cell r="G972">
            <v>0.15</v>
          </cell>
          <cell r="H972">
            <v>0.15</v>
          </cell>
          <cell r="I972">
            <v>0.65</v>
          </cell>
          <cell r="J972" t="str">
            <v>65% and above sites meeting PA &gt; 99.5% for MTN</v>
          </cell>
          <cell r="K972" t="str">
            <v>NOC</v>
          </cell>
          <cell r="L972" t="str">
            <v>MURTALA ABDULMUMIN</v>
          </cell>
        </row>
        <row r="973">
          <cell r="A973">
            <v>111</v>
          </cell>
          <cell r="B973" t="str">
            <v>PAT00043</v>
          </cell>
          <cell r="C973" t="str">
            <v>OLUWASEUN AJAYI</v>
          </cell>
          <cell r="D973" t="str">
            <v>NOC Engineer - MTN SA</v>
          </cell>
          <cell r="E973" t="str">
            <v>Ensure average fault count &lt;41</v>
          </cell>
          <cell r="F973" t="str">
            <v>Ensure average fault count &lt;41</v>
          </cell>
          <cell r="G973">
            <v>0.15</v>
          </cell>
          <cell r="H973">
            <v>0.15</v>
          </cell>
          <cell r="I973" t="str">
            <v>&lt;41</v>
          </cell>
          <cell r="J973" t="str">
            <v>Ensure average fault count &lt;41</v>
          </cell>
          <cell r="K973" t="str">
            <v>NOC</v>
          </cell>
          <cell r="L973" t="str">
            <v>MURTALA ABDULMUMIN</v>
          </cell>
        </row>
        <row r="974">
          <cell r="A974">
            <v>111</v>
          </cell>
          <cell r="B974" t="str">
            <v>PAT00043</v>
          </cell>
          <cell r="C974" t="str">
            <v>OLUWASEUN AJAYI</v>
          </cell>
          <cell r="D974" t="str">
            <v>NOC Engineer - MTN SA</v>
          </cell>
          <cell r="E974" t="str">
            <v>Ensure MTTR &lt;90minutes</v>
          </cell>
          <cell r="F974" t="str">
            <v>Ensure MTTR &lt;90minutes</v>
          </cell>
          <cell r="G974">
            <v>0.1</v>
          </cell>
          <cell r="H974">
            <v>0.1</v>
          </cell>
          <cell r="I974" t="str">
            <v>&lt;90min</v>
          </cell>
          <cell r="J974" t="str">
            <v>Ensure MTTR &lt;120minutes</v>
          </cell>
          <cell r="K974" t="str">
            <v>NOC</v>
          </cell>
          <cell r="L974" t="str">
            <v>MURTALA ABDULMUMIN</v>
          </cell>
        </row>
        <row r="975">
          <cell r="A975">
            <v>111</v>
          </cell>
          <cell r="B975" t="str">
            <v>PAT00043</v>
          </cell>
          <cell r="C975" t="str">
            <v>OLUWASEUN AJAYI</v>
          </cell>
          <cell r="D975" t="str">
            <v>NOC Engineer - MTN SA</v>
          </cell>
          <cell r="E975" t="str">
            <v>Ensure reduction of Passive alarm count</v>
          </cell>
          <cell r="F975" t="str">
            <v>Ensure reduction of Passive alarm count</v>
          </cell>
          <cell r="G975">
            <v>0.1</v>
          </cell>
          <cell r="H975">
            <v>0.1</v>
          </cell>
          <cell r="I975">
            <v>0.01</v>
          </cell>
          <cell r="J975" t="str">
            <v>Ensure 1% Monthly reduction of Critical Passive alarm</v>
          </cell>
          <cell r="K975" t="str">
            <v>NOC</v>
          </cell>
          <cell r="L975" t="str">
            <v>MURTALA ABDULMUMIN</v>
          </cell>
        </row>
        <row r="976">
          <cell r="A976">
            <v>112</v>
          </cell>
          <cell r="B976" t="str">
            <v>PAT00046</v>
          </cell>
          <cell r="C976" t="str">
            <v>TOLUWANIMI AKINYEMI</v>
          </cell>
          <cell r="D976" t="str">
            <v>NOC Engineer - MTN SA</v>
          </cell>
          <cell r="E976" t="str">
            <v>NOC Ticket closure rate-MTN</v>
          </cell>
          <cell r="F976" t="str">
            <v>NOC Ticket closure rate-MTN</v>
          </cell>
          <cell r="G976">
            <v>0.3</v>
          </cell>
          <cell r="H976">
            <v>0.3</v>
          </cell>
          <cell r="I976">
            <v>0.7</v>
          </cell>
          <cell r="J976" t="str">
            <v>Ensure 90% Daily closure rate of MTN tickets</v>
          </cell>
          <cell r="K976" t="str">
            <v>NOC</v>
          </cell>
          <cell r="L976" t="str">
            <v>MURTALA ABDULMUMIN</v>
          </cell>
        </row>
        <row r="977">
          <cell r="A977">
            <v>112</v>
          </cell>
          <cell r="B977" t="str">
            <v>PAT00046</v>
          </cell>
          <cell r="C977" t="str">
            <v>TOLUWANIMI AKINYEMI</v>
          </cell>
          <cell r="D977" t="str">
            <v>NOC Engineer - MTN SA</v>
          </cell>
          <cell r="E977" t="str">
            <v>RCA Accuracy of tickets which matches the on- field actual root causes and resolution (e.g., Trip Breaker for over 2.5 hours is unacceptable or  Synchronization failure between Grid-DG, DG powered is not a correct RCA)</v>
          </cell>
          <cell r="F977" t="str">
            <v>RCA Accuracy of tickets which matches the on- field actual root causes and resolution (e.g., Trip Breaker for over 2.5 hours is unacceptable or  Synchronization failure between Grid-DG, DG powered is not a correct RCA)</v>
          </cell>
          <cell r="G977">
            <v>0.2</v>
          </cell>
          <cell r="H977">
            <v>0.2</v>
          </cell>
          <cell r="I977">
            <v>0.95</v>
          </cell>
          <cell r="J977" t="str">
            <v>Ensure 95% RCA accuracy rate of tickets which matches the on- field actual root causes and resolution</v>
          </cell>
          <cell r="K977" t="str">
            <v>NOC</v>
          </cell>
          <cell r="L977" t="str">
            <v>MURTALA ABDULMUMIN</v>
          </cell>
        </row>
        <row r="978">
          <cell r="A978">
            <v>112</v>
          </cell>
          <cell r="B978" t="str">
            <v>PAT00046</v>
          </cell>
          <cell r="C978" t="str">
            <v>TOLUWANIMI AKINYEMI</v>
          </cell>
          <cell r="D978" t="str">
            <v>NOC Engineer - MTN SA</v>
          </cell>
          <cell r="E978" t="str">
            <v>65% and above sites meeting PA &gt; 99.5% for MTN</v>
          </cell>
          <cell r="F978" t="str">
            <v>65% and above sites meeting PA &gt; 99.5% for MTN</v>
          </cell>
          <cell r="G978">
            <v>0.15</v>
          </cell>
          <cell r="H978">
            <v>0.15</v>
          </cell>
          <cell r="I978">
            <v>0.65</v>
          </cell>
          <cell r="J978" t="str">
            <v>65% and above sites meeting PA &gt; 99.5% for MTN</v>
          </cell>
          <cell r="K978" t="str">
            <v>NOC</v>
          </cell>
          <cell r="L978" t="str">
            <v>MURTALA ABDULMUMIN</v>
          </cell>
        </row>
        <row r="979">
          <cell r="A979">
            <v>112</v>
          </cell>
          <cell r="B979" t="str">
            <v>PAT00046</v>
          </cell>
          <cell r="C979" t="str">
            <v>TOLUWANIMI AKINYEMI</v>
          </cell>
          <cell r="D979" t="str">
            <v>NOC Engineer - MTN SA</v>
          </cell>
          <cell r="E979" t="str">
            <v>Ensure average fault count &lt;41</v>
          </cell>
          <cell r="F979" t="str">
            <v>Ensure average fault count &lt;41</v>
          </cell>
          <cell r="G979">
            <v>0.15</v>
          </cell>
          <cell r="H979">
            <v>0.15</v>
          </cell>
          <cell r="I979" t="str">
            <v>&lt;41</v>
          </cell>
          <cell r="J979" t="str">
            <v>Ensure average fault count &lt;41</v>
          </cell>
          <cell r="K979" t="str">
            <v>NOC</v>
          </cell>
          <cell r="L979" t="str">
            <v>MURTALA ABDULMUMIN</v>
          </cell>
        </row>
        <row r="980">
          <cell r="A980">
            <v>112</v>
          </cell>
          <cell r="B980" t="str">
            <v>PAT00046</v>
          </cell>
          <cell r="C980" t="str">
            <v>TOLUWANIMI AKINYEMI</v>
          </cell>
          <cell r="D980" t="str">
            <v>NOC Engineer - MTN SA</v>
          </cell>
          <cell r="E980" t="str">
            <v>Ensure MTTR &lt;90minutes</v>
          </cell>
          <cell r="F980" t="str">
            <v>Ensure MTTR &lt;90minutes</v>
          </cell>
          <cell r="G980">
            <v>0.1</v>
          </cell>
          <cell r="H980">
            <v>0.1</v>
          </cell>
          <cell r="I980" t="str">
            <v>&lt;90min</v>
          </cell>
          <cell r="J980" t="str">
            <v>Ensure MTTR &lt;120minutes</v>
          </cell>
          <cell r="K980" t="str">
            <v>NOC</v>
          </cell>
          <cell r="L980" t="str">
            <v>MURTALA ABDULMUMIN</v>
          </cell>
        </row>
        <row r="981">
          <cell r="A981">
            <v>112</v>
          </cell>
          <cell r="B981" t="str">
            <v>PAT00046</v>
          </cell>
          <cell r="C981" t="str">
            <v>TOLUWANIMI AKINYEMI</v>
          </cell>
          <cell r="D981" t="str">
            <v>NOC Engineer - MTN SA</v>
          </cell>
          <cell r="E981" t="str">
            <v>Ensure reduction of Passive alarm count</v>
          </cell>
          <cell r="F981" t="str">
            <v>Ensure reduction of Passive alarm count</v>
          </cell>
          <cell r="G981">
            <v>0.1</v>
          </cell>
          <cell r="H981">
            <v>0.1</v>
          </cell>
          <cell r="I981">
            <v>0.01</v>
          </cell>
          <cell r="J981" t="str">
            <v>Ensure 1% Monthly reduction of Critical Passive alarm</v>
          </cell>
          <cell r="K981" t="str">
            <v>NOC</v>
          </cell>
          <cell r="L981" t="str">
            <v>MURTALA ABDULMUMIN</v>
          </cell>
        </row>
        <row r="982">
          <cell r="A982">
            <v>113</v>
          </cell>
          <cell r="B982" t="str">
            <v>PAT00210</v>
          </cell>
          <cell r="C982" t="str">
            <v>CHISOM NDU SARAH</v>
          </cell>
          <cell r="D982" t="str">
            <v>NOC Engineer - MTN SA</v>
          </cell>
          <cell r="E982" t="str">
            <v>NOC Ticket closure rate-MTN</v>
          </cell>
          <cell r="F982" t="str">
            <v>NOC Ticket closure rate-MTN</v>
          </cell>
          <cell r="G982">
            <v>0.3</v>
          </cell>
          <cell r="H982">
            <v>0.3</v>
          </cell>
          <cell r="I982">
            <v>0.7</v>
          </cell>
          <cell r="J982" t="str">
            <v>Ensure 90% Daily closure rate of MTN tickets</v>
          </cell>
          <cell r="K982" t="str">
            <v>NOC</v>
          </cell>
          <cell r="L982" t="str">
            <v>MURTALA ABDULMUMIN</v>
          </cell>
        </row>
        <row r="983">
          <cell r="A983">
            <v>113</v>
          </cell>
          <cell r="B983" t="str">
            <v>PAT00210</v>
          </cell>
          <cell r="C983" t="str">
            <v>CHISOM NDU SARAH</v>
          </cell>
          <cell r="D983" t="str">
            <v>NOC Engineer - MTN SA</v>
          </cell>
          <cell r="E983" t="str">
            <v>RCA Accuracy of tickets which matches the on- field actual root causes and resolution (e.g., Trip Breaker for over 2.5 hours is unacceptable or  Synchronization failure between Grid-DG, DG powered is not a correct RCA)</v>
          </cell>
          <cell r="F983" t="str">
            <v>RCA Accuracy of tickets which matches the on- field actual root causes and resolution (e.g., Trip Breaker for over 2.5 hours is unacceptable or  Synchronization failure between Grid-DG, DG powered is not a correct RCA)</v>
          </cell>
          <cell r="G983">
            <v>0.2</v>
          </cell>
          <cell r="H983">
            <v>0.2</v>
          </cell>
          <cell r="I983">
            <v>0.95</v>
          </cell>
          <cell r="J983" t="str">
            <v>Ensure 95% RCA accuracy rate of tickets which matches the on- field actual root causes and resolution</v>
          </cell>
          <cell r="K983" t="str">
            <v>NOC</v>
          </cell>
          <cell r="L983" t="str">
            <v>MURTALA ABDULMUMIN</v>
          </cell>
        </row>
        <row r="984">
          <cell r="A984">
            <v>113</v>
          </cell>
          <cell r="B984" t="str">
            <v>PAT00210</v>
          </cell>
          <cell r="C984" t="str">
            <v>CHISOM NDU SARAH</v>
          </cell>
          <cell r="D984" t="str">
            <v>NOC Engineer - MTN SA</v>
          </cell>
          <cell r="E984" t="str">
            <v>65% and above sites meeting PA &gt; 99.5% for MTN</v>
          </cell>
          <cell r="F984" t="str">
            <v>65% and above sites meeting PA &gt; 99.5% for MTN</v>
          </cell>
          <cell r="G984">
            <v>0.15</v>
          </cell>
          <cell r="H984">
            <v>0.15</v>
          </cell>
          <cell r="I984">
            <v>0.65</v>
          </cell>
          <cell r="J984" t="str">
            <v>65% and above sites meeting PA &gt; 99.5% for MTN</v>
          </cell>
          <cell r="K984" t="str">
            <v>NOC</v>
          </cell>
          <cell r="L984" t="str">
            <v>MURTALA ABDULMUMIN</v>
          </cell>
        </row>
        <row r="985">
          <cell r="A985">
            <v>113</v>
          </cell>
          <cell r="B985" t="str">
            <v>PAT00210</v>
          </cell>
          <cell r="C985" t="str">
            <v>CHISOM NDU SARAH</v>
          </cell>
          <cell r="D985" t="str">
            <v>NOC Engineer - MTN SA</v>
          </cell>
          <cell r="E985" t="str">
            <v>Ensure average fault count &lt;41</v>
          </cell>
          <cell r="F985" t="str">
            <v>Ensure average fault count &lt;41</v>
          </cell>
          <cell r="G985">
            <v>0.15</v>
          </cell>
          <cell r="H985">
            <v>0.15</v>
          </cell>
          <cell r="I985" t="str">
            <v>&lt;41</v>
          </cell>
          <cell r="J985" t="str">
            <v>Ensure average fault count &lt;41</v>
          </cell>
          <cell r="K985" t="str">
            <v>NOC</v>
          </cell>
          <cell r="L985" t="str">
            <v>MURTALA ABDULMUMIN</v>
          </cell>
        </row>
        <row r="986">
          <cell r="A986">
            <v>113</v>
          </cell>
          <cell r="B986" t="str">
            <v>PAT00210</v>
          </cell>
          <cell r="C986" t="str">
            <v>CHISOM NDU SARAH</v>
          </cell>
          <cell r="D986" t="str">
            <v>NOC Engineer - MTN SA</v>
          </cell>
          <cell r="E986" t="str">
            <v>Ensure MTTR &lt;90minutes</v>
          </cell>
          <cell r="F986" t="str">
            <v>Ensure MTTR &lt;90minutes</v>
          </cell>
          <cell r="G986">
            <v>0.1</v>
          </cell>
          <cell r="H986">
            <v>0.1</v>
          </cell>
          <cell r="I986" t="str">
            <v>&lt;90min</v>
          </cell>
          <cell r="J986" t="str">
            <v>Ensure MTTR &lt;120minutes</v>
          </cell>
          <cell r="K986" t="str">
            <v>NOC</v>
          </cell>
          <cell r="L986" t="str">
            <v>MURTALA ABDULMUMIN</v>
          </cell>
        </row>
        <row r="987">
          <cell r="A987">
            <v>113</v>
          </cell>
          <cell r="B987" t="str">
            <v>PAT00210</v>
          </cell>
          <cell r="C987" t="str">
            <v>CHISOM NDU SARAH</v>
          </cell>
          <cell r="D987" t="str">
            <v>NOC Engineer - MTN SA</v>
          </cell>
          <cell r="E987" t="str">
            <v>Ensure reduction of Passive alarm count</v>
          </cell>
          <cell r="F987" t="str">
            <v>Ensure reduction of Passive alarm count</v>
          </cell>
          <cell r="G987">
            <v>0.1</v>
          </cell>
          <cell r="H987">
            <v>0.1</v>
          </cell>
          <cell r="I987">
            <v>0.01</v>
          </cell>
          <cell r="J987" t="str">
            <v>Ensure 1% Monthly reduction of Critical Passive alarm</v>
          </cell>
          <cell r="K987" t="str">
            <v>NOC</v>
          </cell>
          <cell r="L987" t="str">
            <v>MURTALA ABDULMUMIN</v>
          </cell>
        </row>
        <row r="988">
          <cell r="A988">
            <v>114</v>
          </cell>
          <cell r="B988" t="str">
            <v>PAT00209</v>
          </cell>
          <cell r="C988" t="str">
            <v>EMMANUEL ADEDAYO</v>
          </cell>
          <cell r="D988" t="str">
            <v>Data Analyst</v>
          </cell>
          <cell r="E988" t="str">
            <v>Diesel Management-Allocation</v>
          </cell>
          <cell r="F988" t="str">
            <v>Diesel Management-Allocation</v>
          </cell>
          <cell r="G988">
            <v>0.25</v>
          </cell>
          <cell r="H988">
            <v>0.25</v>
          </cell>
          <cell r="I988" t="str">
            <v>10Days</v>
          </cell>
          <cell r="J988" t="str">
            <v>Ensure Diesel allocation is submitted &lt;10 Days to Supply every month</v>
          </cell>
          <cell r="K988" t="str">
            <v>Performance</v>
          </cell>
          <cell r="L988" t="str">
            <v>MURTALA ABDULMUMIN</v>
          </cell>
        </row>
        <row r="989">
          <cell r="A989">
            <v>114</v>
          </cell>
          <cell r="B989" t="str">
            <v>PAT00209</v>
          </cell>
          <cell r="C989" t="str">
            <v>EMMANUEL ADEDAYO</v>
          </cell>
          <cell r="D989" t="str">
            <v>Data Analyst</v>
          </cell>
          <cell r="E989" t="str">
            <v>Data-Base Management</v>
          </cell>
          <cell r="F989" t="str">
            <v>Data-Base Management</v>
          </cell>
          <cell r="G989">
            <v>0.25</v>
          </cell>
          <cell r="H989">
            <v>0.25</v>
          </cell>
          <cell r="I989">
            <v>12</v>
          </cell>
          <cell r="J989" t="str">
            <v>Ensure Proper maintenance, updates and Bi-Weekly Circulation of Site Data base for all sites (12 Times in 6months)</v>
          </cell>
          <cell r="K989" t="str">
            <v>Performance</v>
          </cell>
          <cell r="L989" t="str">
            <v>MURTALA ABDULMUMIN</v>
          </cell>
        </row>
        <row r="990">
          <cell r="A990">
            <v>114</v>
          </cell>
          <cell r="B990" t="str">
            <v>PAT00209</v>
          </cell>
          <cell r="C990" t="str">
            <v>EMMANUEL ADEDAYO</v>
          </cell>
          <cell r="D990" t="str">
            <v>Data Analyst</v>
          </cell>
          <cell r="E990" t="str">
            <v>Report Automation</v>
          </cell>
          <cell r="F990" t="str">
            <v>Report Automation</v>
          </cell>
          <cell r="G990">
            <v>0.25</v>
          </cell>
          <cell r="H990">
            <v>0.25</v>
          </cell>
          <cell r="I990">
            <v>12</v>
          </cell>
          <cell r="J990" t="str">
            <v>Automate Minimum of 2 reports per month</v>
          </cell>
          <cell r="K990" t="str">
            <v>Performance</v>
          </cell>
          <cell r="L990" t="str">
            <v>MURTALA ABDULMUMIN</v>
          </cell>
        </row>
        <row r="991">
          <cell r="A991">
            <v>114</v>
          </cell>
          <cell r="B991" t="str">
            <v>PAT00209</v>
          </cell>
          <cell r="C991" t="str">
            <v>EMMANUEL ADEDAYO</v>
          </cell>
          <cell r="D991" t="str">
            <v>Data Analyst</v>
          </cell>
          <cell r="E991" t="str">
            <v>Diesel Management-Zero Diesel outage</v>
          </cell>
          <cell r="F991" t="str">
            <v>Diesel Management-Zero Diesel outage</v>
          </cell>
          <cell r="G991">
            <v>0.25</v>
          </cell>
          <cell r="H991">
            <v>0.25</v>
          </cell>
          <cell r="I991">
            <v>1E-4</v>
          </cell>
          <cell r="J991" t="str">
            <v>Ensure Max of 0.01% Contribution to PA Degradation from Diesel outage</v>
          </cell>
          <cell r="K991" t="str">
            <v>Performance</v>
          </cell>
          <cell r="L991" t="str">
            <v>MURTALA ABDULMUMIN</v>
          </cell>
        </row>
        <row r="992">
          <cell r="A992">
            <v>115</v>
          </cell>
          <cell r="B992" t="str">
            <v>PAT00053</v>
          </cell>
          <cell r="C992" t="str">
            <v>OLUWATOBI OGUNLESI</v>
          </cell>
          <cell r="D992" t="str">
            <v>Communications and Admin Manager</v>
          </cell>
          <cell r="E992" t="str">
            <v>Ensure Efficient Office Operations and Facility Management</v>
          </cell>
          <cell r="F992" t="str">
            <v>Ensure Efficient Office Operations and Facility Management</v>
          </cell>
          <cell r="G992">
            <v>0.15</v>
          </cell>
          <cell r="H992">
            <v>0.03</v>
          </cell>
          <cell r="J992" t="str">
            <v>Achieve 100% uptime for all critical office facilities (e.g., power, water, elevator).</v>
          </cell>
          <cell r="K992" t="str">
            <v>Toyosi</v>
          </cell>
          <cell r="L992" t="str">
            <v>CHISOM NDUKWE</v>
          </cell>
        </row>
        <row r="993">
          <cell r="A993">
            <v>115</v>
          </cell>
          <cell r="B993" t="str">
            <v>PAT00053</v>
          </cell>
          <cell r="C993" t="str">
            <v>OLUWATOBI OGUNLESI</v>
          </cell>
          <cell r="D993" t="str">
            <v>Communications and Admin Manager</v>
          </cell>
          <cell r="F993" t="str">
            <v>Ensure Efficient Office Operations and Facility Management</v>
          </cell>
          <cell r="H993">
            <v>0.04</v>
          </cell>
          <cell r="J993" t="str">
            <v>Complete 100% of scheduled maintenance activities on time.</v>
          </cell>
          <cell r="K993" t="str">
            <v>Toyosi</v>
          </cell>
          <cell r="L993" t="str">
            <v>CHISOM NDUKWE</v>
          </cell>
        </row>
        <row r="994">
          <cell r="A994">
            <v>115</v>
          </cell>
          <cell r="B994" t="str">
            <v>PAT00053</v>
          </cell>
          <cell r="C994" t="str">
            <v>OLUWATOBI OGUNLESI</v>
          </cell>
          <cell r="D994" t="str">
            <v>Communications and Admin Manager</v>
          </cell>
          <cell r="F994" t="str">
            <v>Ensure Efficient Office Operations and Facility Management</v>
          </cell>
          <cell r="H994">
            <v>0.04</v>
          </cell>
          <cell r="J994" t="str">
            <v>Maintain an average office cleanliness and safety audit score of 95% or higher.</v>
          </cell>
          <cell r="K994" t="str">
            <v>Toyosi</v>
          </cell>
          <cell r="L994" t="str">
            <v>CHISOM NDUKWE</v>
          </cell>
        </row>
        <row r="995">
          <cell r="A995">
            <v>115</v>
          </cell>
          <cell r="B995" t="str">
            <v>PAT00053</v>
          </cell>
          <cell r="C995" t="str">
            <v>OLUWATOBI OGUNLESI</v>
          </cell>
          <cell r="D995" t="str">
            <v>Communications and Admin Manager</v>
          </cell>
          <cell r="F995" t="str">
            <v>Ensure Efficient Office Operations and Facility Management</v>
          </cell>
          <cell r="H995">
            <v>0.04</v>
          </cell>
          <cell r="J995" t="str">
            <v>Resolve all office-related service requests within 48 hours, 95% of the time.</v>
          </cell>
          <cell r="K995" t="str">
            <v>Toyosi</v>
          </cell>
          <cell r="L995" t="str">
            <v>CHISOM NDUKWE</v>
          </cell>
        </row>
        <row r="996">
          <cell r="A996">
            <v>115</v>
          </cell>
          <cell r="B996" t="str">
            <v>PAT00053</v>
          </cell>
          <cell r="C996" t="str">
            <v>OLUWATOBI OGUNLESI</v>
          </cell>
          <cell r="D996" t="str">
            <v>Communications and Admin Manager</v>
          </cell>
          <cell r="E996" t="str">
            <v>Optimize Administrative Cost and Resource Utilization</v>
          </cell>
          <cell r="F996" t="str">
            <v>Optimize Administrative Cost and Resource Utilization</v>
          </cell>
          <cell r="G996">
            <v>0.15</v>
          </cell>
          <cell r="H996">
            <v>0.05</v>
          </cell>
          <cell r="J996" t="str">
            <v>Reduce admin-related operational costs by 10% through vendor renegotiation and waste reduction.</v>
          </cell>
          <cell r="K996" t="str">
            <v>Tobi/Bidemi</v>
          </cell>
          <cell r="L996" t="str">
            <v>CHISOM NDUKWE</v>
          </cell>
        </row>
        <row r="997">
          <cell r="A997">
            <v>115</v>
          </cell>
          <cell r="B997" t="str">
            <v>PAT00053</v>
          </cell>
          <cell r="C997" t="str">
            <v>OLUWATOBI OGUNLESI</v>
          </cell>
          <cell r="D997" t="str">
            <v>Communications and Admin Manager</v>
          </cell>
          <cell r="F997" t="str">
            <v>Optimize Administrative Cost and Resource Utilization</v>
          </cell>
          <cell r="H997">
            <v>0.05</v>
          </cell>
          <cell r="J997" t="str">
            <v>Implement centralized inventory and asset tracking system covering 100% of assets by Q3.</v>
          </cell>
          <cell r="K997" t="str">
            <v>Tobi</v>
          </cell>
          <cell r="L997" t="str">
            <v>CHISOM NDUKWE</v>
          </cell>
        </row>
        <row r="998">
          <cell r="A998">
            <v>115</v>
          </cell>
          <cell r="B998" t="str">
            <v>PAT00053</v>
          </cell>
          <cell r="C998" t="str">
            <v>OLUWATOBI OGUNLESI</v>
          </cell>
          <cell r="D998" t="str">
            <v>Communications and Admin Manager</v>
          </cell>
          <cell r="F998" t="str">
            <v>Optimize Administrative Cost and Resource Utilization</v>
          </cell>
          <cell r="H998">
            <v>0.05</v>
          </cell>
          <cell r="J998" t="str">
            <v>Conduct quarterly reviews to identify and eliminate non-essential admin expenditures.</v>
          </cell>
          <cell r="K998" t="str">
            <v>Tobi</v>
          </cell>
          <cell r="L998" t="str">
            <v>CHISOM NDUKWE</v>
          </cell>
        </row>
        <row r="999">
          <cell r="A999">
            <v>115</v>
          </cell>
          <cell r="B999" t="str">
            <v>PAT00053</v>
          </cell>
          <cell r="C999" t="str">
            <v>OLUWATOBI OGUNLESI</v>
          </cell>
          <cell r="D999" t="str">
            <v>Communications and Admin Manager</v>
          </cell>
          <cell r="E999" t="str">
            <v>Corporate Communication Strategy</v>
          </cell>
          <cell r="F999" t="str">
            <v>Corporate Communication Strategy</v>
          </cell>
          <cell r="G999">
            <v>0.4</v>
          </cell>
          <cell r="H999">
            <v>0.1</v>
          </cell>
          <cell r="J999" t="str">
            <v>Develop and implement a corporate communication strategy that aligns with PAT's goals</v>
          </cell>
          <cell r="K999" t="str">
            <v>Tobi</v>
          </cell>
          <cell r="L999" t="str">
            <v>CHISOM NDUKWE</v>
          </cell>
        </row>
        <row r="1000">
          <cell r="A1000">
            <v>115</v>
          </cell>
          <cell r="B1000" t="str">
            <v>PAT00053</v>
          </cell>
          <cell r="C1000" t="str">
            <v>OLUWATOBI OGUNLESI</v>
          </cell>
          <cell r="D1000" t="str">
            <v>Communications and Admin Manager</v>
          </cell>
          <cell r="F1000" t="str">
            <v>Corporate Communication Strategy</v>
          </cell>
          <cell r="H1000">
            <v>0.1</v>
          </cell>
          <cell r="J1000" t="str">
            <v xml:space="preserve">Increase stakeholders engagment through targeted communication initiatives. </v>
          </cell>
          <cell r="K1000" t="str">
            <v>Tobi</v>
          </cell>
          <cell r="L1000" t="str">
            <v>CHISOM NDUKWE</v>
          </cell>
        </row>
        <row r="1001">
          <cell r="A1001">
            <v>115</v>
          </cell>
          <cell r="B1001" t="str">
            <v>PAT00053</v>
          </cell>
          <cell r="C1001" t="str">
            <v>OLUWATOBI OGUNLESI</v>
          </cell>
          <cell r="D1001" t="str">
            <v>Communications and Admin Manager</v>
          </cell>
          <cell r="F1001" t="str">
            <v>Corporate Communication Strategy</v>
          </cell>
          <cell r="H1001">
            <v>0.1</v>
          </cell>
          <cell r="J1001" t="str">
            <v>Partner with all departments and ensure all internal company communication is driven by corporate communications</v>
          </cell>
          <cell r="K1001" t="str">
            <v>Tobi</v>
          </cell>
          <cell r="L1001" t="str">
            <v>CHISOM NDUKWE</v>
          </cell>
        </row>
        <row r="1002">
          <cell r="A1002">
            <v>115</v>
          </cell>
          <cell r="B1002" t="str">
            <v>PAT00053</v>
          </cell>
          <cell r="C1002" t="str">
            <v>OLUWATOBI OGUNLESI</v>
          </cell>
          <cell r="D1002" t="str">
            <v>Communications and Admin Manager</v>
          </cell>
          <cell r="F1002" t="str">
            <v>Corporate Communication Strategy</v>
          </cell>
          <cell r="H1002">
            <v>0.1</v>
          </cell>
          <cell r="J1002" t="str">
            <v>Design a coporate communication manuel for PAT</v>
          </cell>
          <cell r="K1002" t="str">
            <v>Tobi</v>
          </cell>
          <cell r="L1002" t="str">
            <v>CHISOM NDUKWE</v>
          </cell>
        </row>
        <row r="1003">
          <cell r="A1003">
            <v>115</v>
          </cell>
          <cell r="B1003" t="str">
            <v>PAT00053</v>
          </cell>
          <cell r="C1003" t="str">
            <v>OLUWATOBI OGUNLESI</v>
          </cell>
          <cell r="D1003" t="str">
            <v>Communications and Admin Manager</v>
          </cell>
          <cell r="E1003" t="str">
            <v>Enhance Employee Support Services</v>
          </cell>
          <cell r="F1003" t="str">
            <v>Enhance Employee Support Services</v>
          </cell>
          <cell r="G1003">
            <v>0.15</v>
          </cell>
          <cell r="H1003">
            <v>0.06</v>
          </cell>
          <cell r="J1003" t="str">
            <v>Achieve at least 90% employee satisfaction on workplace support services (from internal surveys).</v>
          </cell>
          <cell r="K1003" t="str">
            <v>Admin unit</v>
          </cell>
          <cell r="L1003" t="str">
            <v>CHISOM NDUKWE</v>
          </cell>
        </row>
        <row r="1004">
          <cell r="A1004">
            <v>115</v>
          </cell>
          <cell r="B1004" t="str">
            <v>PAT00053</v>
          </cell>
          <cell r="C1004" t="str">
            <v>OLUWATOBI OGUNLESI</v>
          </cell>
          <cell r="D1004" t="str">
            <v>Communications and Admin Manager</v>
          </cell>
          <cell r="F1004" t="str">
            <v>Enhance Employee Support Services</v>
          </cell>
          <cell r="H1004">
            <v>0.06</v>
          </cell>
          <cell r="J1004" t="str">
            <v>Reduce response time for employee logistics and admin requests to under 48 hours on average.</v>
          </cell>
          <cell r="K1004" t="str">
            <v>Admin unit</v>
          </cell>
          <cell r="L1004" t="str">
            <v>CHISOM NDUKWE</v>
          </cell>
        </row>
        <row r="1005">
          <cell r="A1005">
            <v>115</v>
          </cell>
          <cell r="B1005" t="str">
            <v>PAT00053</v>
          </cell>
          <cell r="C1005" t="str">
            <v>OLUWATOBI OGUNLESI</v>
          </cell>
          <cell r="D1005" t="str">
            <v>Communications and Admin Manager</v>
          </cell>
          <cell r="F1005" t="str">
            <v>Enhance Employee Support Services</v>
          </cell>
          <cell r="H1005">
            <v>0.03</v>
          </cell>
          <cell r="J1005" t="str">
            <v>Facilitate onboarding support for 100% of new hires within their three days.</v>
          </cell>
          <cell r="K1005" t="str">
            <v>Admin unit</v>
          </cell>
          <cell r="L1005" t="str">
            <v>CHISOM NDUKWE</v>
          </cell>
        </row>
        <row r="1006">
          <cell r="A1006">
            <v>115</v>
          </cell>
          <cell r="B1006" t="str">
            <v>PAT00053</v>
          </cell>
          <cell r="C1006" t="str">
            <v>OLUWATOBI OGUNLESI</v>
          </cell>
          <cell r="D1006" t="str">
            <v>Communications and Admin Manager</v>
          </cell>
          <cell r="E1006" t="str">
            <v>Ensure Policy Compliance and Risk Mitigation</v>
          </cell>
          <cell r="F1006" t="str">
            <v>Ensure Policy Compliance and Risk Mitigation</v>
          </cell>
          <cell r="G1006">
            <v>0.15</v>
          </cell>
          <cell r="H1006">
            <v>0.05</v>
          </cell>
          <cell r="J1006" t="str">
            <v>Ensure 100% compliance with health, safety, and environment (HSE) regulations partner with ESG.</v>
          </cell>
          <cell r="K1006" t="str">
            <v>Admin unit</v>
          </cell>
          <cell r="L1006" t="str">
            <v>CHISOM NDUKWE</v>
          </cell>
        </row>
        <row r="1007">
          <cell r="A1007">
            <v>115</v>
          </cell>
          <cell r="B1007" t="str">
            <v>PAT00053</v>
          </cell>
          <cell r="C1007" t="str">
            <v>OLUWATOBI OGUNLESI</v>
          </cell>
          <cell r="D1007" t="str">
            <v>Communications and Admin Manager</v>
          </cell>
          <cell r="F1007" t="str">
            <v>Ensure Policy Compliance and Risk Mitigation</v>
          </cell>
          <cell r="H1007">
            <v>0.05</v>
          </cell>
          <cell r="J1007" t="str">
            <v>Design an admin standard operations policy  (SOP) for all admin functions</v>
          </cell>
          <cell r="K1007" t="str">
            <v>Tobi</v>
          </cell>
          <cell r="L1007" t="str">
            <v>CHISOM NDUKWE</v>
          </cell>
        </row>
        <row r="1008">
          <cell r="A1008">
            <v>115</v>
          </cell>
          <cell r="B1008" t="str">
            <v>PAT00053</v>
          </cell>
          <cell r="C1008" t="str">
            <v>OLUWATOBI OGUNLESI</v>
          </cell>
          <cell r="D1008" t="str">
            <v>Communications and Admin Manager</v>
          </cell>
          <cell r="F1008" t="str">
            <v>Ensure Policy Compliance and Risk Mitigation</v>
          </cell>
          <cell r="H1008">
            <v>0.05</v>
          </cell>
          <cell r="J1008" t="str">
            <v>Ensure 100% of admin staff are updated company policies and procedures by Q2.</v>
          </cell>
          <cell r="K1008" t="str">
            <v>Admin unit</v>
          </cell>
          <cell r="L1008" t="str">
            <v>CHISOM NDUKWE</v>
          </cell>
        </row>
        <row r="1009">
          <cell r="A1009">
            <v>116</v>
          </cell>
          <cell r="B1009" t="str">
            <v>PAT00151</v>
          </cell>
          <cell r="C1009" t="str">
            <v>MERCY OGWUCHE</v>
          </cell>
          <cell r="D1009" t="str">
            <v>Front Desk Officer</v>
          </cell>
          <cell r="E1009" t="str">
            <v>Deliver excellent first impressions through professional and welcoming front desk services</v>
          </cell>
          <cell r="F1009" t="str">
            <v>Deliver excellent first impressions through professional and welcoming front desk services</v>
          </cell>
          <cell r="G1009">
            <v>0.2</v>
          </cell>
          <cell r="H1009">
            <v>0.05</v>
          </cell>
          <cell r="J1009" t="str">
            <v>Greet and attend to 100% of visitors within 2 minutes of arrival.</v>
          </cell>
          <cell r="L1009" t="str">
            <v>OLUWATOBI OGUNLESI</v>
          </cell>
        </row>
        <row r="1010">
          <cell r="A1010">
            <v>116</v>
          </cell>
          <cell r="B1010" t="str">
            <v>PAT00151</v>
          </cell>
          <cell r="C1010" t="str">
            <v>MERCY OGWUCHE</v>
          </cell>
          <cell r="D1010" t="str">
            <v>Front Desk Officer</v>
          </cell>
          <cell r="F1010" t="str">
            <v>Deliver excellent first impressions through professional and welcoming front desk services</v>
          </cell>
          <cell r="H1010">
            <v>7.4999999999999997E-2</v>
          </cell>
          <cell r="J1010" t="str">
            <v>Maintain a front desk service satisfaction score of at least 95% from internal staff and visitors (via periodic feedback).</v>
          </cell>
          <cell r="L1010" t="str">
            <v>OLUWATOBI OGUNLESI</v>
          </cell>
        </row>
        <row r="1011">
          <cell r="A1011">
            <v>116</v>
          </cell>
          <cell r="B1011" t="str">
            <v>PAT00151</v>
          </cell>
          <cell r="C1011" t="str">
            <v>MERCY OGWUCHE</v>
          </cell>
          <cell r="D1011" t="str">
            <v>Front Desk Officer</v>
          </cell>
          <cell r="F1011" t="str">
            <v>Deliver excellent first impressions through professional and welcoming front desk services</v>
          </cell>
          <cell r="H1011">
            <v>7.4999999999999997E-2</v>
          </cell>
          <cell r="J1011" t="str">
            <v>Ensure all guests are logged in and appropriately badged with 100% accuracy.</v>
          </cell>
          <cell r="L1011" t="str">
            <v>OLUWATOBI OGUNLESI</v>
          </cell>
        </row>
        <row r="1012">
          <cell r="A1012">
            <v>116</v>
          </cell>
          <cell r="B1012" t="str">
            <v>PAT00151</v>
          </cell>
          <cell r="C1012" t="str">
            <v>MERCY OGWUCHE</v>
          </cell>
          <cell r="D1012" t="str">
            <v>Front Desk Officer</v>
          </cell>
          <cell r="E1012" t="str">
            <v>Manage call and mail handling with high responsiveness and professionalism</v>
          </cell>
          <cell r="F1012" t="str">
            <v>Manage call and mail handling with high responsiveness and professionalism</v>
          </cell>
          <cell r="G1012">
            <v>0.2</v>
          </cell>
          <cell r="H1012">
            <v>0.05</v>
          </cell>
          <cell r="J1012" t="str">
            <v>Answer 100% of incoming calls within 2 rings and log calls requiring follow-up.</v>
          </cell>
          <cell r="L1012" t="str">
            <v>OLUWATOBI OGUNLESI</v>
          </cell>
        </row>
        <row r="1013">
          <cell r="A1013">
            <v>116</v>
          </cell>
          <cell r="B1013" t="str">
            <v>PAT00151</v>
          </cell>
          <cell r="C1013" t="str">
            <v>MERCY OGWUCHE</v>
          </cell>
          <cell r="D1013" t="str">
            <v>Front Desk Officer</v>
          </cell>
          <cell r="F1013" t="str">
            <v>Manage call and mail handling with high responsiveness and professionalism</v>
          </cell>
          <cell r="H1013">
            <v>0.05</v>
          </cell>
          <cell r="J1013" t="str">
            <v>Direct 100% of calls or inquiries to the correct departments within 2 minutes.</v>
          </cell>
          <cell r="L1013" t="str">
            <v>OLUWATOBI OGUNLESI</v>
          </cell>
        </row>
        <row r="1014">
          <cell r="A1014">
            <v>116</v>
          </cell>
          <cell r="B1014" t="str">
            <v>PAT00151</v>
          </cell>
          <cell r="C1014" t="str">
            <v>MERCY OGWUCHE</v>
          </cell>
          <cell r="D1014" t="str">
            <v>Front Desk Officer</v>
          </cell>
          <cell r="F1014" t="str">
            <v>Manage call and mail handling with high responsiveness and professionalism</v>
          </cell>
          <cell r="H1014">
            <v>0.1</v>
          </cell>
          <cell r="J1014" t="str">
            <v>Log and dispatch 100% of incoming and outgoing courier and mail deliveries daily.</v>
          </cell>
          <cell r="L1014" t="str">
            <v>OLUWATOBI OGUNLESI</v>
          </cell>
        </row>
        <row r="1015">
          <cell r="A1015">
            <v>116</v>
          </cell>
          <cell r="B1015" t="str">
            <v>PAT00151</v>
          </cell>
          <cell r="C1015" t="str">
            <v>MERCY OGWUCHE</v>
          </cell>
          <cell r="D1015" t="str">
            <v>Front Desk Officer</v>
          </cell>
          <cell r="E1015" t="str">
            <v>Support smooth coordination and communication across departments</v>
          </cell>
          <cell r="F1015" t="str">
            <v>Support smooth coordination and communication across departments</v>
          </cell>
          <cell r="G1015">
            <v>0.2</v>
          </cell>
          <cell r="H1015">
            <v>0.05</v>
          </cell>
          <cell r="J1015" t="str">
            <v>Share daily internal memos or visitor schedules with 100% accuracy by 10 a.m.</v>
          </cell>
          <cell r="L1015" t="str">
            <v>OLUWATOBI OGUNLESI</v>
          </cell>
        </row>
        <row r="1016">
          <cell r="A1016">
            <v>116</v>
          </cell>
          <cell r="B1016" t="str">
            <v>PAT00151</v>
          </cell>
          <cell r="C1016" t="str">
            <v>MERCY OGWUCHE</v>
          </cell>
          <cell r="D1016" t="str">
            <v>Front Desk Officer</v>
          </cell>
          <cell r="F1016" t="str">
            <v>Support smooth coordination and communication across departments</v>
          </cell>
          <cell r="H1016">
            <v>0.05</v>
          </cell>
          <cell r="J1016" t="str">
            <v>Facilitate meeting room bookings and ensure 100% room readiness for scheduled meetings.</v>
          </cell>
          <cell r="L1016" t="str">
            <v>OLUWATOBI OGUNLESI</v>
          </cell>
        </row>
        <row r="1017">
          <cell r="A1017">
            <v>116</v>
          </cell>
          <cell r="B1017" t="str">
            <v>PAT00151</v>
          </cell>
          <cell r="C1017" t="str">
            <v>MERCY OGWUCHE</v>
          </cell>
          <cell r="D1017" t="str">
            <v>Front Desk Officer</v>
          </cell>
          <cell r="F1017" t="str">
            <v>Support smooth coordination and communication across departments</v>
          </cell>
          <cell r="H1017">
            <v>0.05</v>
          </cell>
          <cell r="J1017" t="str">
            <v>Maintain updated contact directories and department escalation lists with zero errors.</v>
          </cell>
          <cell r="L1017" t="str">
            <v>OLUWATOBI OGUNLESI</v>
          </cell>
        </row>
        <row r="1018">
          <cell r="A1018">
            <v>116</v>
          </cell>
          <cell r="B1018" t="str">
            <v>PAT00151</v>
          </cell>
          <cell r="C1018" t="str">
            <v>MERCY OGWUCHE</v>
          </cell>
          <cell r="D1018" t="str">
            <v>Front Desk Officer</v>
          </cell>
          <cell r="F1018" t="str">
            <v>Support smooth coordination and communication across departments</v>
          </cell>
          <cell r="H1018">
            <v>0.05</v>
          </cell>
          <cell r="J1018" t="str">
            <v>Assist in at least 2 cross-functional admin or communication tasks monthly.</v>
          </cell>
          <cell r="L1018" t="str">
            <v>OLUWATOBI OGUNLESI</v>
          </cell>
        </row>
        <row r="1019">
          <cell r="A1019">
            <v>116</v>
          </cell>
          <cell r="B1019" t="str">
            <v>PAT00151</v>
          </cell>
          <cell r="C1019" t="str">
            <v>MERCY OGWUCHE</v>
          </cell>
          <cell r="D1019" t="str">
            <v>Front Desk Officer</v>
          </cell>
          <cell r="E1019" t="str">
            <v>Improve efficiency and appearance of the front office through proactive operations</v>
          </cell>
          <cell r="F1019" t="str">
            <v>Improve efficiency and appearance of the front office through proactive operations</v>
          </cell>
          <cell r="G1019">
            <v>0.2</v>
          </cell>
          <cell r="H1019">
            <v>0.1</v>
          </cell>
          <cell r="J1019" t="str">
            <v>Conduct a daily front desk readiness checklist with 100% completion and corrective action logged.</v>
          </cell>
          <cell r="L1019" t="str">
            <v>OLUWATOBI OGUNLESI</v>
          </cell>
        </row>
        <row r="1020">
          <cell r="A1020">
            <v>116</v>
          </cell>
          <cell r="B1020" t="str">
            <v>PAT00151</v>
          </cell>
          <cell r="C1020" t="str">
            <v>MERCY OGWUCHE</v>
          </cell>
          <cell r="D1020" t="str">
            <v>Front Desk Officer</v>
          </cell>
          <cell r="F1020" t="str">
            <v>Improve efficiency and appearance of the front office through proactive operations</v>
          </cell>
          <cell r="H1020">
            <v>0.1</v>
          </cell>
          <cell r="J1020" t="str">
            <v>Maintain a front desk incident log with weekly updates submitted to the Admin Officer.</v>
          </cell>
          <cell r="L1020" t="str">
            <v>OLUWATOBI OGUNLESI</v>
          </cell>
        </row>
        <row r="1021">
          <cell r="A1021">
            <v>116</v>
          </cell>
          <cell r="B1021" t="str">
            <v>PAT00151</v>
          </cell>
          <cell r="C1021" t="str">
            <v>MERCY OGWUCHE</v>
          </cell>
          <cell r="D1021" t="str">
            <v>Front Desk Officer</v>
          </cell>
          <cell r="E1021" t="str">
            <v xml:space="preserve">Strengthen internal collaboration </v>
          </cell>
          <cell r="F1021" t="str">
            <v xml:space="preserve">Strengthen internal collaboration </v>
          </cell>
          <cell r="G1021">
            <v>0.2</v>
          </cell>
          <cell r="H1021">
            <v>7.4999999999999997E-2</v>
          </cell>
          <cell r="J1021" t="str">
            <v>Achieve 100% completion rate on all assigned admin or HSE tasks.</v>
          </cell>
          <cell r="L1021" t="str">
            <v>OLUWATOBI OGUNLESI</v>
          </cell>
        </row>
        <row r="1022">
          <cell r="A1022">
            <v>116</v>
          </cell>
          <cell r="B1022" t="str">
            <v>PAT00151</v>
          </cell>
          <cell r="C1022" t="str">
            <v>MERCY OGWUCHE</v>
          </cell>
          <cell r="D1022" t="str">
            <v>Front Desk Officer</v>
          </cell>
          <cell r="F1022" t="str">
            <v xml:space="preserve">Strengthen internal collaboration </v>
          </cell>
          <cell r="H1022">
            <v>0.05</v>
          </cell>
          <cell r="J1022" t="str">
            <v>Assist with onboarding support for new hires (e.g., greeting, documentation handover) within 3 days of resumption.</v>
          </cell>
          <cell r="L1022" t="str">
            <v>OLUWATOBI OGUNLESI</v>
          </cell>
        </row>
        <row r="1023">
          <cell r="A1023">
            <v>116</v>
          </cell>
          <cell r="B1023" t="str">
            <v>PAT00151</v>
          </cell>
          <cell r="C1023" t="str">
            <v>MERCY OGWUCHE</v>
          </cell>
          <cell r="D1023" t="str">
            <v>Front Desk Officer</v>
          </cell>
          <cell r="F1023" t="str">
            <v xml:space="preserve">Strengthen internal collaboration </v>
          </cell>
          <cell r="H1023">
            <v>7.4999999999999997E-2</v>
          </cell>
          <cell r="J1023" t="str">
            <v>Maintain zero documented complaints from staff or visitors about front desk behavior or service.</v>
          </cell>
          <cell r="L1023" t="str">
            <v>OLUWATOBI OGUNLESI</v>
          </cell>
        </row>
        <row r="1024">
          <cell r="A1024">
            <v>117</v>
          </cell>
          <cell r="B1024" t="str">
            <v>PAT00037</v>
          </cell>
          <cell r="C1024" t="str">
            <v>GEORGE BIDEMI</v>
          </cell>
          <cell r="D1024" t="str">
            <v>Admin Coordinator</v>
          </cell>
          <cell r="E1024" t="str">
            <v>Optimize procurement of office supplies to reduce cost and improve efficiency</v>
          </cell>
          <cell r="F1024" t="str">
            <v>Optimize procurement of office supplies to reduce cost and improve efficiency</v>
          </cell>
          <cell r="G1024">
            <v>0.3</v>
          </cell>
          <cell r="H1024">
            <v>0.1</v>
          </cell>
          <cell r="J1024" t="str">
            <v>Reduce office supply costs by 10% through vendor renegotiation and bulk purchasing by end of quarter.</v>
          </cell>
          <cell r="L1024" t="str">
            <v>OLUWATOBI OGUNLESI</v>
          </cell>
        </row>
        <row r="1025">
          <cell r="A1025">
            <v>117</v>
          </cell>
          <cell r="B1025" t="str">
            <v>PAT00037</v>
          </cell>
          <cell r="C1025" t="str">
            <v>GEORGE BIDEMI</v>
          </cell>
          <cell r="D1025" t="str">
            <v>Admin Coordinator</v>
          </cell>
          <cell r="F1025" t="str">
            <v>Optimize procurement of office supplies to reduce cost and improve efficiency</v>
          </cell>
          <cell r="H1025">
            <v>0.05</v>
          </cell>
          <cell r="J1025" t="str">
            <v>Maintain a minimum stock level for all critical office supplies with zero stockouts.</v>
          </cell>
          <cell r="L1025" t="str">
            <v>OLUWATOBI OGUNLESI</v>
          </cell>
        </row>
        <row r="1026">
          <cell r="A1026">
            <v>117</v>
          </cell>
          <cell r="B1026" t="str">
            <v>PAT00037</v>
          </cell>
          <cell r="C1026" t="str">
            <v>GEORGE BIDEMI</v>
          </cell>
          <cell r="D1026" t="str">
            <v>Admin Coordinator</v>
          </cell>
          <cell r="F1026" t="str">
            <v>Optimize procurement of office supplies to reduce cost and improve efficiency</v>
          </cell>
          <cell r="H1026">
            <v>0.05</v>
          </cell>
          <cell r="J1026" t="str">
            <v>Complete 100% of supply requests within 48 hours of approval.</v>
          </cell>
          <cell r="L1026" t="str">
            <v>OLUWATOBI OGUNLESI</v>
          </cell>
        </row>
        <row r="1027">
          <cell r="A1027">
            <v>117</v>
          </cell>
          <cell r="B1027" t="str">
            <v>PAT00037</v>
          </cell>
          <cell r="C1027" t="str">
            <v>GEORGE BIDEMI</v>
          </cell>
          <cell r="D1027" t="str">
            <v>Admin Coordinator</v>
          </cell>
          <cell r="F1027" t="str">
            <v>Optimize procurement of office supplies to reduce cost and improve efficiency</v>
          </cell>
          <cell r="H1027">
            <v>0.05</v>
          </cell>
          <cell r="J1027" t="str">
            <v>Establish a quarterly procurement review process and report supply usage trends to management.</v>
          </cell>
          <cell r="L1027" t="str">
            <v>OLUWATOBI OGUNLESI</v>
          </cell>
        </row>
        <row r="1028">
          <cell r="A1028">
            <v>117</v>
          </cell>
          <cell r="B1028" t="str">
            <v>PAT00037</v>
          </cell>
          <cell r="C1028" t="str">
            <v>GEORGE BIDEMI</v>
          </cell>
          <cell r="D1028" t="str">
            <v>Admin Coordinator</v>
          </cell>
          <cell r="F1028" t="str">
            <v>Optimize procurement of office supplies to reduce cost and improve efficiency</v>
          </cell>
          <cell r="H1028">
            <v>0.05</v>
          </cell>
          <cell r="J1028" t="str">
            <v>Implement a digital inventory system for tracking stock levels and restocking needs.</v>
          </cell>
          <cell r="L1028" t="str">
            <v>OLUWATOBI OGUNLESI</v>
          </cell>
        </row>
        <row r="1029">
          <cell r="A1029">
            <v>117</v>
          </cell>
          <cell r="B1029" t="str">
            <v>PAT00037</v>
          </cell>
          <cell r="C1029" t="str">
            <v>GEORGE BIDEMI</v>
          </cell>
          <cell r="D1029" t="str">
            <v>Admin Coordinator</v>
          </cell>
          <cell r="E1029" t="str">
            <v>Improve performance and accountability of office assistants and cleaning staff</v>
          </cell>
          <cell r="F1029" t="str">
            <v>Improve performance and accountability of office assistants and cleaning staff</v>
          </cell>
          <cell r="G1029">
            <v>0.3</v>
          </cell>
          <cell r="H1029">
            <v>0.1</v>
          </cell>
          <cell r="J1029" t="str">
            <v>Conduct monthly performance check-ins with 100% of office assistants and cleaning staff.</v>
          </cell>
          <cell r="L1029" t="str">
            <v>OLUWATOBI OGUNLESI</v>
          </cell>
        </row>
        <row r="1030">
          <cell r="A1030">
            <v>117</v>
          </cell>
          <cell r="B1030" t="str">
            <v>PAT00037</v>
          </cell>
          <cell r="C1030" t="str">
            <v>GEORGE BIDEMI</v>
          </cell>
          <cell r="D1030" t="str">
            <v>Admin Coordinator</v>
          </cell>
          <cell r="F1030" t="str">
            <v>Improve performance and accountability of office assistants and cleaning staff</v>
          </cell>
          <cell r="H1030">
            <v>0.1</v>
          </cell>
          <cell r="J1030" t="str">
            <v>Achieve an average internal service satisfaction rating of 90% or higher from employees.</v>
          </cell>
          <cell r="L1030" t="str">
            <v>OLUWATOBI OGUNLESI</v>
          </cell>
        </row>
        <row r="1031">
          <cell r="A1031">
            <v>117</v>
          </cell>
          <cell r="B1031" t="str">
            <v>PAT00037</v>
          </cell>
          <cell r="C1031" t="str">
            <v>GEORGE BIDEMI</v>
          </cell>
          <cell r="D1031" t="str">
            <v>Admin Coordinator</v>
          </cell>
          <cell r="F1031" t="str">
            <v>Improve performance and accountability of office assistants and cleaning staff</v>
          </cell>
          <cell r="H1031">
            <v>0.1</v>
          </cell>
          <cell r="J1031" t="str">
            <v>Resolve 100% of reported service-related issues involving support staff within 24 hours.</v>
          </cell>
          <cell r="L1031" t="str">
            <v>OLUWATOBI OGUNLESI</v>
          </cell>
        </row>
        <row r="1032">
          <cell r="A1032">
            <v>117</v>
          </cell>
          <cell r="B1032" t="str">
            <v>PAT00037</v>
          </cell>
          <cell r="C1032" t="str">
            <v>GEORGE BIDEMI</v>
          </cell>
          <cell r="D1032" t="str">
            <v>Admin Coordinator</v>
          </cell>
          <cell r="E1032" t="str">
            <v>Maintain a clean, well-organized, and professional office environment</v>
          </cell>
          <cell r="F1032" t="str">
            <v>Maintain a clean, well-organized, and professional office environment</v>
          </cell>
          <cell r="G1032">
            <v>0.2</v>
          </cell>
          <cell r="H1032">
            <v>0.1</v>
          </cell>
          <cell r="J1032" t="str">
            <v>Achieve a minimum office cleanliness audit score of 95% each month.</v>
          </cell>
          <cell r="L1032" t="str">
            <v>OLUWATOBI OGUNLESI</v>
          </cell>
        </row>
        <row r="1033">
          <cell r="A1033">
            <v>117</v>
          </cell>
          <cell r="B1033" t="str">
            <v>PAT00037</v>
          </cell>
          <cell r="C1033" t="str">
            <v>GEORGE BIDEMI</v>
          </cell>
          <cell r="D1033" t="str">
            <v>Admin Coordinator</v>
          </cell>
          <cell r="F1033" t="str">
            <v>Maintain a clean, well-organized, and professional office environment</v>
          </cell>
          <cell r="H1033">
            <v>0.1</v>
          </cell>
          <cell r="J1033" t="str">
            <v>Ensure 100% availability of cleaning materials and consumables at all duty stations.</v>
          </cell>
          <cell r="L1033" t="str">
            <v>OLUWATOBI OGUNLESI</v>
          </cell>
        </row>
        <row r="1034">
          <cell r="A1034">
            <v>117</v>
          </cell>
          <cell r="B1034" t="str">
            <v>PAT00037</v>
          </cell>
          <cell r="C1034" t="str">
            <v>GEORGE BIDEMI</v>
          </cell>
          <cell r="D1034" t="str">
            <v>Admin Coordinator</v>
          </cell>
          <cell r="E1034" t="str">
            <v>Improve administrative response time and service delivery to internal stakeholders</v>
          </cell>
          <cell r="F1034" t="str">
            <v>Improve administrative response time and service delivery to internal stakeholders</v>
          </cell>
          <cell r="G1034">
            <v>0.2</v>
          </cell>
          <cell r="H1034">
            <v>0.1</v>
          </cell>
          <cell r="J1034" t="str">
            <v>Respond to 95% of logistics and admin-related employee requests within 24 hours.</v>
          </cell>
          <cell r="L1034" t="str">
            <v>OLUWATOBI OGUNLESI</v>
          </cell>
        </row>
        <row r="1035">
          <cell r="A1035">
            <v>117</v>
          </cell>
          <cell r="B1035" t="str">
            <v>PAT00037</v>
          </cell>
          <cell r="C1035" t="str">
            <v>GEORGE BIDEMI</v>
          </cell>
          <cell r="D1035" t="str">
            <v>Admin Coordinator</v>
          </cell>
          <cell r="F1035" t="str">
            <v>Improve administrative response time and service delivery to internal stakeholders</v>
          </cell>
          <cell r="H1035">
            <v>0.1</v>
          </cell>
          <cell r="J1035" t="str">
            <v>Automate at least 3 recurring administrative processes (e.g., supply requests, task delegation).</v>
          </cell>
          <cell r="L1035" t="str">
            <v>OLUWATOBI OGUNLESI</v>
          </cell>
        </row>
        <row r="1036">
          <cell r="A1036">
            <v>118</v>
          </cell>
          <cell r="B1036" t="str">
            <v>PAT00011</v>
          </cell>
          <cell r="C1036" t="str">
            <v>OMOTOYOSI FEHINTOLA</v>
          </cell>
          <cell r="D1036" t="str">
            <v>Facility Officer</v>
          </cell>
          <cell r="E1036" t="str">
            <v>Ensure uninterrupted operation of critical office infrastructure to support optimal productivity</v>
          </cell>
          <cell r="F1036" t="str">
            <v>Ensure uninterrupted operation of critical office infrastructure to support optimal productivity</v>
          </cell>
          <cell r="G1036">
            <v>0.2</v>
          </cell>
          <cell r="H1036">
            <v>0.1</v>
          </cell>
          <cell r="J1036" t="str">
            <v>Maintain 100% uptime for all critical facilities (power, water, elevator) throughout the year.</v>
          </cell>
          <cell r="L1036" t="str">
            <v>OLUWATOBI OGUNLESI</v>
          </cell>
        </row>
        <row r="1037">
          <cell r="A1037">
            <v>118</v>
          </cell>
          <cell r="B1037" t="str">
            <v>PAT00011</v>
          </cell>
          <cell r="C1037" t="str">
            <v>OMOTOYOSI FEHINTOLA</v>
          </cell>
          <cell r="D1037" t="str">
            <v>Facility Officer</v>
          </cell>
          <cell r="F1037" t="str">
            <v>Ensure uninterrupted operation of critical office infrastructure to support optimal productivity</v>
          </cell>
          <cell r="H1037">
            <v>0.05</v>
          </cell>
          <cell r="J1037" t="str">
            <v>Respond to and resolve 100% of critical facility outages within 20 minutes of detection.</v>
          </cell>
          <cell r="L1037" t="str">
            <v>OLUWATOBI OGUNLESI</v>
          </cell>
        </row>
        <row r="1038">
          <cell r="A1038">
            <v>118</v>
          </cell>
          <cell r="B1038" t="str">
            <v>PAT00011</v>
          </cell>
          <cell r="C1038" t="str">
            <v>OMOTOYOSI FEHINTOLA</v>
          </cell>
          <cell r="D1038" t="str">
            <v>Facility Officer</v>
          </cell>
          <cell r="F1038" t="str">
            <v>Ensure uninterrupted operation of critical office infrastructure to support optimal productivity</v>
          </cell>
          <cell r="H1038">
            <v>0.05</v>
          </cell>
          <cell r="J1038" t="str">
            <v>Achieve zero reported disruptions to core operations due to facility issues.</v>
          </cell>
          <cell r="L1038" t="str">
            <v>OLUWATOBI OGUNLESI</v>
          </cell>
        </row>
        <row r="1039">
          <cell r="A1039">
            <v>118</v>
          </cell>
          <cell r="B1039" t="str">
            <v>PAT00011</v>
          </cell>
          <cell r="C1039" t="str">
            <v>OMOTOYOSI FEHINTOLA</v>
          </cell>
          <cell r="D1039" t="str">
            <v>Facility Officer</v>
          </cell>
          <cell r="E1039" t="str">
            <v>Improve facility management efficiency through proactive maintenance and service delivery</v>
          </cell>
          <cell r="F1039" t="str">
            <v>Improve facility management efficiency through proactive maintenance and service delivery</v>
          </cell>
          <cell r="G1039">
            <v>0.2</v>
          </cell>
          <cell r="H1039">
            <v>0.1</v>
          </cell>
          <cell r="J1039" t="str">
            <v>Resolve 95% of facility-related service requests within 48 hours.</v>
          </cell>
          <cell r="L1039" t="str">
            <v>OLUWATOBI OGUNLESI</v>
          </cell>
        </row>
        <row r="1040">
          <cell r="A1040">
            <v>118</v>
          </cell>
          <cell r="B1040" t="str">
            <v>PAT00011</v>
          </cell>
          <cell r="C1040" t="str">
            <v>OMOTOYOSI FEHINTOLA</v>
          </cell>
          <cell r="D1040" t="str">
            <v>Facility Officer</v>
          </cell>
          <cell r="F1040" t="str">
            <v>Improve facility management efficiency through proactive maintenance and service delivery</v>
          </cell>
          <cell r="H1040">
            <v>0.1</v>
          </cell>
          <cell r="J1040" t="str">
            <v>Reduce emergency repair incidents by 30% compared to the previous quarter.</v>
          </cell>
          <cell r="L1040" t="str">
            <v>OLUWATOBI OGUNLESI</v>
          </cell>
        </row>
        <row r="1041">
          <cell r="A1041">
            <v>118</v>
          </cell>
          <cell r="B1041" t="str">
            <v>PAT00011</v>
          </cell>
          <cell r="C1041" t="str">
            <v>OMOTOYOSI FEHINTOLA</v>
          </cell>
          <cell r="D1041" t="str">
            <v>Facility Officer</v>
          </cell>
          <cell r="E1041" t="str">
            <v>Improve fleet management operations for efficiency, safety, and documentation compliance</v>
          </cell>
          <cell r="F1041" t="str">
            <v>Improve fleet management operations for efficiency, safety, and documentation compliance</v>
          </cell>
          <cell r="G1041">
            <v>0.25</v>
          </cell>
          <cell r="H1041">
            <v>0.1</v>
          </cell>
          <cell r="J1041" t="str">
            <v>Maintain 100% up-to-date documentation, repair and service logs and fuel useage for all vehicles in the company fleet.</v>
          </cell>
          <cell r="L1041" t="str">
            <v>OLUWATOBI OGUNLESI</v>
          </cell>
        </row>
        <row r="1042">
          <cell r="A1042">
            <v>118</v>
          </cell>
          <cell r="B1042" t="str">
            <v>PAT00011</v>
          </cell>
          <cell r="C1042" t="str">
            <v>OMOTOYOSI FEHINTOLA</v>
          </cell>
          <cell r="D1042" t="str">
            <v>Facility Officer</v>
          </cell>
          <cell r="F1042" t="str">
            <v>Improve fleet management operations for efficiency, safety, and documentation compliance</v>
          </cell>
          <cell r="H1042">
            <v>0.1</v>
          </cell>
          <cell r="J1042" t="str">
            <v>Conduct bi-annual inspections for all vehicles and resolve identified issues within 72 hours.</v>
          </cell>
          <cell r="L1042" t="str">
            <v>OLUWATOBI OGUNLESI</v>
          </cell>
        </row>
        <row r="1043">
          <cell r="A1043">
            <v>118</v>
          </cell>
          <cell r="B1043" t="str">
            <v>PAT00011</v>
          </cell>
          <cell r="C1043" t="str">
            <v>OMOTOYOSI FEHINTOLA</v>
          </cell>
          <cell r="D1043" t="str">
            <v>Facility Officer</v>
          </cell>
          <cell r="F1043" t="str">
            <v>Improve fleet management operations for efficiency, safety, and documentation compliance</v>
          </cell>
          <cell r="H1043">
            <v>0.05</v>
          </cell>
          <cell r="J1043" t="str">
            <v>Reduce unplanned vehicle breakdowns by 25% through scheduled maintenance adherence.</v>
          </cell>
          <cell r="L1043" t="str">
            <v>OLUWATOBI OGUNLESI</v>
          </cell>
        </row>
        <row r="1044">
          <cell r="A1044">
            <v>118</v>
          </cell>
          <cell r="B1044" t="str">
            <v>PAT00011</v>
          </cell>
          <cell r="C1044" t="str">
            <v>OMOTOYOSI FEHINTOLA</v>
          </cell>
          <cell r="D1044" t="str">
            <v>Facility Officer</v>
          </cell>
          <cell r="E1044" t="str">
            <v>Strengthen employee satisfaction and support services through responsive facility operations</v>
          </cell>
          <cell r="F1044" t="str">
            <v>Strengthen employee satisfaction and support services through responsive facility operations</v>
          </cell>
          <cell r="G1044">
            <v>0.15</v>
          </cell>
          <cell r="H1044">
            <v>0.1</v>
          </cell>
          <cell r="J1044" t="str">
            <v>Achieve at least 90% satisfaction score on facilities support in the annual employee survey.</v>
          </cell>
          <cell r="L1044" t="str">
            <v>OLUWATOBI OGUNLESI</v>
          </cell>
        </row>
        <row r="1045">
          <cell r="A1045">
            <v>118</v>
          </cell>
          <cell r="B1045" t="str">
            <v>PAT00011</v>
          </cell>
          <cell r="C1045" t="str">
            <v>OMOTOYOSI FEHINTOLA</v>
          </cell>
          <cell r="D1045" t="str">
            <v>Facility Officer</v>
          </cell>
          <cell r="F1045" t="str">
            <v>Strengthen employee satisfaction and support services through responsive facility operations</v>
          </cell>
          <cell r="H1045">
            <v>0.05</v>
          </cell>
          <cell r="J1045" t="str">
            <v>Track and reduce recurring facility complaints by 40% by end of quarter.</v>
          </cell>
          <cell r="L1045" t="str">
            <v>OLUWATOBI OGUNLESI</v>
          </cell>
        </row>
        <row r="1046">
          <cell r="A1046">
            <v>118</v>
          </cell>
          <cell r="B1046" t="str">
            <v>PAT00011</v>
          </cell>
          <cell r="C1046" t="str">
            <v>OMOTOYOSI FEHINTOLA</v>
          </cell>
          <cell r="D1046" t="str">
            <v>Facility Officer</v>
          </cell>
          <cell r="E1046" t="str">
            <v>Ensure full compliance with HSE standards in partnership with the ESG team</v>
          </cell>
          <cell r="F1046" t="str">
            <v>Ensure full compliance with HSE standards in partnership with the ESG team</v>
          </cell>
          <cell r="G1046">
            <v>0.2</v>
          </cell>
          <cell r="H1046">
            <v>0.1</v>
          </cell>
          <cell r="J1046" t="str">
            <v>Achieve 100% compliance in quarterly HSE audits with no major violations.</v>
          </cell>
          <cell r="L1046" t="str">
            <v>OLUWATOBI OGUNLESI</v>
          </cell>
        </row>
        <row r="1047">
          <cell r="A1047">
            <v>118</v>
          </cell>
          <cell r="B1047" t="str">
            <v>PAT00011</v>
          </cell>
          <cell r="C1047" t="str">
            <v>OMOTOYOSI FEHINTOLA</v>
          </cell>
          <cell r="D1047" t="str">
            <v>Facility Officer</v>
          </cell>
          <cell r="F1047" t="str">
            <v>Ensure full compliance with HSE standards in partnership with the ESG team</v>
          </cell>
          <cell r="H1047">
            <v>0.1</v>
          </cell>
          <cell r="J1047" t="str">
            <v>Address all identified HSE risks within 3 working days.</v>
          </cell>
          <cell r="L1047" t="str">
            <v>OLUWATOBI OGUNLESI</v>
          </cell>
        </row>
        <row r="1048">
          <cell r="A1048">
            <v>119</v>
          </cell>
          <cell r="B1048" t="str">
            <v>PAT00096</v>
          </cell>
          <cell r="C1048" t="str">
            <v>KAFAYAT IBRAHIM</v>
          </cell>
          <cell r="D1048" t="str">
            <v>Executive Assitant</v>
          </cell>
          <cell r="E1048" t="str">
            <v>Ensure seamless support to EXCO through proactive planning, coordination, and execution</v>
          </cell>
          <cell r="F1048" t="str">
            <v>Ensure seamless support to EXCO through proactive planning, coordination, and execution</v>
          </cell>
          <cell r="G1048">
            <v>0.3</v>
          </cell>
          <cell r="H1048">
            <v>0.1</v>
          </cell>
          <cell r="J1048" t="str">
            <v>Achieve 100% on-time delivery of EXCO meeting agendas and minutes for all scheduled sessions.</v>
          </cell>
          <cell r="L1048" t="str">
            <v>OLUWATOBI OGUNLESI</v>
          </cell>
        </row>
        <row r="1049">
          <cell r="A1049">
            <v>119</v>
          </cell>
          <cell r="B1049" t="str">
            <v>PAT00096</v>
          </cell>
          <cell r="C1049" t="str">
            <v>KAFAYAT IBRAHIM</v>
          </cell>
          <cell r="D1049" t="str">
            <v>Executive Assitant</v>
          </cell>
          <cell r="F1049" t="str">
            <v>Ensure seamless support to EXCO through proactive planning, coordination, and execution</v>
          </cell>
          <cell r="H1049">
            <v>0.1</v>
          </cell>
          <cell r="J1049" t="str">
            <v>Reduce scheduling conflicts by 80% through improved calendar and priority alignment processes.</v>
          </cell>
          <cell r="L1049" t="str">
            <v>OLUWATOBI OGUNLESI</v>
          </cell>
        </row>
        <row r="1050">
          <cell r="A1050">
            <v>119</v>
          </cell>
          <cell r="B1050" t="str">
            <v>PAT00096</v>
          </cell>
          <cell r="C1050" t="str">
            <v>KAFAYAT IBRAHIM</v>
          </cell>
          <cell r="D1050" t="str">
            <v>Executive Assitant</v>
          </cell>
          <cell r="F1050" t="str">
            <v>Ensure seamless support to EXCO through proactive planning, coordination, and execution</v>
          </cell>
          <cell r="H1050">
            <v>0.1</v>
          </cell>
          <cell r="J1050" t="str">
            <v>Achieve at least 90% positive feedback from EXCO members in quarterly support effectiveness surveys.</v>
          </cell>
          <cell r="L1050" t="str">
            <v>OLUWATOBI OGUNLESI</v>
          </cell>
        </row>
        <row r="1051">
          <cell r="A1051">
            <v>119</v>
          </cell>
          <cell r="B1051" t="str">
            <v>PAT00096</v>
          </cell>
          <cell r="C1051" t="str">
            <v>KAFAYAT IBRAHIM</v>
          </cell>
          <cell r="D1051" t="str">
            <v>Executive Assitant</v>
          </cell>
          <cell r="E1051" t="str">
            <v>Streamline expatriate processes to ensure compliance and enhance employee experience.</v>
          </cell>
          <cell r="F1051" t="str">
            <v>Streamline expatriate processes to ensure compliance and enhance employee experience.</v>
          </cell>
          <cell r="G1051">
            <v>0.2</v>
          </cell>
          <cell r="H1051">
            <v>0.1</v>
          </cell>
          <cell r="J1051" t="str">
            <v>Ensure 100% compliance with expatriate immigration, work permit, and renewal timelines.</v>
          </cell>
          <cell r="L1051" t="str">
            <v>OLUWATOBI OGUNLESI</v>
          </cell>
        </row>
        <row r="1052">
          <cell r="A1052">
            <v>119</v>
          </cell>
          <cell r="B1052" t="str">
            <v>PAT00096</v>
          </cell>
          <cell r="C1052" t="str">
            <v>KAFAYAT IBRAHIM</v>
          </cell>
          <cell r="D1052" t="str">
            <v>Executive Assitant</v>
          </cell>
          <cell r="F1052" t="str">
            <v>Streamline expatriate processes to ensure compliance and enhance employee experience.</v>
          </cell>
          <cell r="H1052">
            <v>0.05</v>
          </cell>
          <cell r="J1052" t="str">
            <v>Launch and enforce an expatriate onboarding/offboarding checklist with 100% usage by HR and Admin teams.</v>
          </cell>
          <cell r="L1052" t="str">
            <v>OLUWATOBI OGUNLESI</v>
          </cell>
        </row>
        <row r="1053">
          <cell r="A1053">
            <v>119</v>
          </cell>
          <cell r="B1053" t="str">
            <v>PAT00096</v>
          </cell>
          <cell r="C1053" t="str">
            <v>KAFAYAT IBRAHIM</v>
          </cell>
          <cell r="D1053" t="str">
            <v>Executive Assitant</v>
          </cell>
          <cell r="F1053" t="str">
            <v>Streamline expatriate processes to ensure compliance and enhance employee experience.</v>
          </cell>
          <cell r="H1053">
            <v>0.05</v>
          </cell>
          <cell r="J1053" t="str">
            <v>Achieve a 20% increase in expatriate satisfaction based on bi-annual survey feedback.</v>
          </cell>
          <cell r="L1053" t="str">
            <v>OLUWATOBI OGUNLESI</v>
          </cell>
        </row>
        <row r="1054">
          <cell r="A1054">
            <v>119</v>
          </cell>
          <cell r="B1054" t="str">
            <v>PAT00096</v>
          </cell>
          <cell r="C1054" t="str">
            <v>KAFAYAT IBRAHIM</v>
          </cell>
          <cell r="D1054" t="str">
            <v>Executive Assitant</v>
          </cell>
          <cell r="E1054" t="str">
            <v>Improve communication and follow-through on EXCO priorities and stakeholder coordination.</v>
          </cell>
          <cell r="F1054" t="str">
            <v>Improve communication and follow-through on EXCO priorities and stakeholder coordination.</v>
          </cell>
          <cell r="G1054">
            <v>0.2</v>
          </cell>
          <cell r="H1054">
            <v>0.1</v>
          </cell>
          <cell r="J1054" t="str">
            <v>Maintain 100% timely distribution of EXCO decisions and action points within 72 hours post-meeting.</v>
          </cell>
          <cell r="L1054" t="str">
            <v>OLUWATOBI OGUNLESI</v>
          </cell>
        </row>
        <row r="1055">
          <cell r="A1055">
            <v>119</v>
          </cell>
          <cell r="B1055" t="str">
            <v>PAT00096</v>
          </cell>
          <cell r="C1055" t="str">
            <v>KAFAYAT IBRAHIM</v>
          </cell>
          <cell r="D1055" t="str">
            <v>Executive Assitant</v>
          </cell>
          <cell r="F1055" t="str">
            <v>Improve communication and follow-through on EXCO priorities and stakeholder coordination.</v>
          </cell>
          <cell r="H1055">
            <v>0.05</v>
          </cell>
          <cell r="J1055" t="str">
            <v>Facilitate at least 2 cross-functional planning or alignment meetings per quarter.</v>
          </cell>
          <cell r="L1055" t="str">
            <v>OLUWATOBI OGUNLESI</v>
          </cell>
        </row>
        <row r="1056">
          <cell r="A1056">
            <v>119</v>
          </cell>
          <cell r="B1056" t="str">
            <v>PAT00096</v>
          </cell>
          <cell r="C1056" t="str">
            <v>KAFAYAT IBRAHIM</v>
          </cell>
          <cell r="D1056" t="str">
            <v>Executive Assitant</v>
          </cell>
          <cell r="F1056" t="str">
            <v>Improve communication and follow-through on EXCO priorities and stakeholder coordination.</v>
          </cell>
          <cell r="H1056">
            <v>0.05</v>
          </cell>
          <cell r="J1056" t="str">
            <v>Launch a monthly executive update or briefing document with at least 95% readership from target audience.</v>
          </cell>
          <cell r="L1056" t="str">
            <v>OLUWATOBI OGUNLESI</v>
          </cell>
        </row>
        <row r="1057">
          <cell r="A1057">
            <v>119</v>
          </cell>
          <cell r="B1057" t="str">
            <v>PAT00096</v>
          </cell>
          <cell r="C1057" t="str">
            <v>KAFAYAT IBRAHIM</v>
          </cell>
          <cell r="D1057" t="str">
            <v>Executive Assitant</v>
          </cell>
          <cell r="E1057" t="str">
            <v>Anticipate and address key risks in executive and expatriate administrative operations.</v>
          </cell>
          <cell r="F1057" t="str">
            <v>Anticipate and address key risks in executive and expatriate administrative operations.</v>
          </cell>
          <cell r="G1057">
            <v>0.3</v>
          </cell>
          <cell r="H1057">
            <v>0.1</v>
          </cell>
          <cell r="J1057" t="str">
            <v>Develop and maintain a 12-month executive travel and events calendar with quarterly reviews and 95% accuracy.</v>
          </cell>
          <cell r="L1057" t="str">
            <v>OLUWATOBI OGUNLESI</v>
          </cell>
        </row>
        <row r="1058">
          <cell r="A1058">
            <v>119</v>
          </cell>
          <cell r="B1058" t="str">
            <v>PAT00096</v>
          </cell>
          <cell r="C1058" t="str">
            <v>KAFAYAT IBRAHIM</v>
          </cell>
          <cell r="D1058" t="str">
            <v>Executive Assitant</v>
          </cell>
          <cell r="F1058" t="str">
            <v>Anticipate and address key risks in executive and expatriate administrative operations.</v>
          </cell>
          <cell r="H1058">
            <v>0.1</v>
          </cell>
          <cell r="J1058" t="str">
            <v>Identify and document at least 3 recurring admin or expatriate support risks, with mitigation plans submitted to HR/EXCO.</v>
          </cell>
          <cell r="L1058" t="str">
            <v>OLUWATOBI OGUNLESI</v>
          </cell>
        </row>
        <row r="1059">
          <cell r="A1059">
            <v>119</v>
          </cell>
          <cell r="B1059" t="str">
            <v>PAT00096</v>
          </cell>
          <cell r="C1059" t="str">
            <v>KAFAYAT IBRAHIM</v>
          </cell>
          <cell r="D1059" t="str">
            <v>Executive Assitant</v>
          </cell>
          <cell r="F1059" t="str">
            <v>Anticipate and address key risks in executive and expatriate administrative operations.</v>
          </cell>
          <cell r="H1059">
            <v>0.1</v>
          </cell>
          <cell r="J1059" t="str">
            <v>Track and resolve 100% of executive and expatriate support issues within 5 business days.</v>
          </cell>
          <cell r="L1059" t="str">
            <v>OLUWATOBI OGUNLESI</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B1" t="str">
            <v>Staff ID</v>
          </cell>
          <cell r="F1" t="str">
            <v>Line Manger</v>
          </cell>
        </row>
        <row r="2">
          <cell r="B2" t="str">
            <v>PAT00072</v>
          </cell>
          <cell r="F2" t="str">
            <v>GEORGE BIDEMI</v>
          </cell>
        </row>
        <row r="3">
          <cell r="B3" t="str">
            <v>PAT00148</v>
          </cell>
          <cell r="F3" t="str">
            <v>GEORGE BIDEMI</v>
          </cell>
        </row>
        <row r="4">
          <cell r="B4" t="str">
            <v>PAT00208</v>
          </cell>
          <cell r="F4" t="str">
            <v>OLADIPO BADRU</v>
          </cell>
        </row>
        <row r="5">
          <cell r="B5" t="str">
            <v>PAT00053</v>
          </cell>
          <cell r="F5" t="str">
            <v>CHISOM NDUKWE</v>
          </cell>
        </row>
        <row r="6">
          <cell r="B6" t="str">
            <v>PAT00115</v>
          </cell>
          <cell r="F6" t="str">
            <v>OLAREWAJU IBRAHEEM</v>
          </cell>
        </row>
        <row r="7">
          <cell r="B7" t="str">
            <v>PAT00146</v>
          </cell>
          <cell r="F7" t="str">
            <v>OLAREWAJU IBRAHEEM</v>
          </cell>
        </row>
        <row r="8">
          <cell r="B8" t="str">
            <v>PAT00003</v>
          </cell>
          <cell r="F8" t="str">
            <v>ADEJUMOKE AJALA</v>
          </cell>
        </row>
        <row r="9">
          <cell r="B9" t="str">
            <v>PAT00052</v>
          </cell>
          <cell r="F9" t="str">
            <v xml:space="preserve">OMONIYI AKINOLA </v>
          </cell>
        </row>
        <row r="10">
          <cell r="B10" t="str">
            <v>PAT00029</v>
          </cell>
          <cell r="F10" t="str">
            <v>AJIBOLA OGUNBADEWA</v>
          </cell>
        </row>
        <row r="11">
          <cell r="B11" t="str">
            <v>PAT00020</v>
          </cell>
          <cell r="F11" t="str">
            <v>ABIMBOLA FALOPE</v>
          </cell>
        </row>
        <row r="12">
          <cell r="B12" t="str">
            <v>PAT00097</v>
          </cell>
          <cell r="F12" t="str">
            <v>ABIMBOLA FALOPE</v>
          </cell>
        </row>
        <row r="13">
          <cell r="B13" t="str">
            <v>PAT00022</v>
          </cell>
          <cell r="F13" t="str">
            <v>OLADIPO BADRU</v>
          </cell>
        </row>
        <row r="14">
          <cell r="B14" t="str">
            <v>PAT00164</v>
          </cell>
          <cell r="F14" t="str">
            <v>ABIMBOLA FALOPE</v>
          </cell>
        </row>
        <row r="15">
          <cell r="B15" t="str">
            <v>PAT00107</v>
          </cell>
          <cell r="F15" t="str">
            <v>BOARD</v>
          </cell>
        </row>
        <row r="16">
          <cell r="B16" t="str">
            <v>PAT00050</v>
          </cell>
          <cell r="F16" t="str">
            <v>OLAREWAJU IBRAHEEM</v>
          </cell>
        </row>
        <row r="17">
          <cell r="B17" t="str">
            <v>PAT00138</v>
          </cell>
          <cell r="F17" t="str">
            <v>OLAREWAJU IBRAHEEM</v>
          </cell>
        </row>
        <row r="18">
          <cell r="B18" t="str">
            <v>PAT00141</v>
          </cell>
          <cell r="F18" t="str">
            <v>OLAREWAJU IBRAHEEM</v>
          </cell>
        </row>
        <row r="19">
          <cell r="B19" t="str">
            <v>PAT00144</v>
          </cell>
          <cell r="F19" t="str">
            <v>OLAREWAJU IBRAHEEM</v>
          </cell>
        </row>
        <row r="20">
          <cell r="B20" t="str">
            <v>PAT00059</v>
          </cell>
          <cell r="F20" t="str">
            <v>OLAREWAJU IBRAHEEM</v>
          </cell>
        </row>
        <row r="21">
          <cell r="B21" t="str">
            <v>PAT00031</v>
          </cell>
          <cell r="F21" t="str">
            <v>OLAREWAJU IBRAHEEM</v>
          </cell>
        </row>
        <row r="22">
          <cell r="B22" t="str">
            <v>PAT00005</v>
          </cell>
          <cell r="F22" t="str">
            <v>OLAREWAJU IBRAHEEM</v>
          </cell>
        </row>
        <row r="23">
          <cell r="B23" t="str">
            <v>PAT00139</v>
          </cell>
          <cell r="F23" t="str">
            <v>OLAREWAJU IBRAHEEM</v>
          </cell>
        </row>
        <row r="24">
          <cell r="B24" t="str">
            <v>PAT00162</v>
          </cell>
          <cell r="F24" t="str">
            <v>OLAREWAJU IBRAHEEM</v>
          </cell>
        </row>
        <row r="25">
          <cell r="B25" t="str">
            <v>PAT00169</v>
          </cell>
          <cell r="F25" t="str">
            <v>OLADIPO BADRU</v>
          </cell>
        </row>
        <row r="26">
          <cell r="B26" t="str">
            <v>PAT00172</v>
          </cell>
          <cell r="F26" t="str">
            <v>CHISOM NDUKWE</v>
          </cell>
        </row>
        <row r="27">
          <cell r="B27" t="str">
            <v>PAT00030</v>
          </cell>
          <cell r="F27" t="str">
            <v>NNEAMAKA DIKE</v>
          </cell>
        </row>
        <row r="28">
          <cell r="B28" t="str">
            <v>PAT00037</v>
          </cell>
          <cell r="F28" t="str">
            <v>OLUWATOBI OGUNLESI</v>
          </cell>
        </row>
        <row r="29">
          <cell r="B29" t="str">
            <v>PAT00136</v>
          </cell>
          <cell r="F29" t="str">
            <v>CHISOM NDUKWE</v>
          </cell>
        </row>
        <row r="30">
          <cell r="B30" t="str">
            <v>PAT00096</v>
          </cell>
          <cell r="F30" t="str">
            <v>OLUWATOBI OGUNLESI</v>
          </cell>
        </row>
        <row r="31">
          <cell r="B31" t="str">
            <v>PAT00151</v>
          </cell>
          <cell r="F31" t="str">
            <v>OLUWATOBI OGUNLESI</v>
          </cell>
        </row>
        <row r="32">
          <cell r="B32" t="str">
            <v>PAT00027</v>
          </cell>
          <cell r="F32" t="str">
            <v>OLADIPO BADRU</v>
          </cell>
        </row>
        <row r="33">
          <cell r="B33" t="str">
            <v>PAT00028</v>
          </cell>
          <cell r="F33" t="str">
            <v>CHISOM NDUKWE</v>
          </cell>
        </row>
        <row r="34">
          <cell r="B34" t="str">
            <v>PAT00036</v>
          </cell>
          <cell r="F34" t="str">
            <v>ANYEBE ANEBI</v>
          </cell>
        </row>
        <row r="35">
          <cell r="B35" t="str">
            <v>PAT00155</v>
          </cell>
          <cell r="F35" t="str">
            <v>OLADIPO BADRU</v>
          </cell>
        </row>
        <row r="36">
          <cell r="B36" t="str">
            <v>PAT00008</v>
          </cell>
          <cell r="F36" t="str">
            <v>ABAYOMI ONITIJU</v>
          </cell>
        </row>
        <row r="37">
          <cell r="B37" t="str">
            <v>PAT00048</v>
          </cell>
          <cell r="F37" t="str">
            <v>ABAYOMI ONITIJU</v>
          </cell>
        </row>
        <row r="38">
          <cell r="B38" t="str">
            <v>PAT00157</v>
          </cell>
          <cell r="F38" t="str">
            <v>BABATUNDE OLANIYAN</v>
          </cell>
        </row>
        <row r="39">
          <cell r="B39" t="str">
            <v>PAT00010</v>
          </cell>
          <cell r="F39" t="str">
            <v>OLADIPO BADRU</v>
          </cell>
        </row>
        <row r="40">
          <cell r="B40" t="str">
            <v>PAT00049</v>
          </cell>
          <cell r="F40" t="str">
            <v>BABATUNDE OLANIYAN</v>
          </cell>
        </row>
        <row r="41">
          <cell r="B41" t="str">
            <v>PAT00019</v>
          </cell>
          <cell r="F41" t="str">
            <v>BABATUNDE OLANIYAN</v>
          </cell>
        </row>
        <row r="42">
          <cell r="B42" t="str">
            <v>PAT00103</v>
          </cell>
          <cell r="F42" t="str">
            <v>OLANREWAJU FAMAKINWA</v>
          </cell>
        </row>
        <row r="43">
          <cell r="B43" t="str">
            <v>PAT00056</v>
          </cell>
          <cell r="F43" t="str">
            <v>OLANREWAJU FAMAKINWA</v>
          </cell>
        </row>
        <row r="44">
          <cell r="B44" t="str">
            <v>PAT00032</v>
          </cell>
          <cell r="F44" t="str">
            <v>OLANREWAJU FAMAKINWA</v>
          </cell>
        </row>
        <row r="45">
          <cell r="B45" t="str">
            <v>PAT00125</v>
          </cell>
          <cell r="F45" t="str">
            <v>OLANREWAJU FAMAKINWA</v>
          </cell>
        </row>
        <row r="46">
          <cell r="B46" t="str">
            <v>PAT00004</v>
          </cell>
          <cell r="F46" t="str">
            <v>OLANREWAJU FAMAKINWA</v>
          </cell>
        </row>
        <row r="47">
          <cell r="B47" t="str">
            <v>PAT00021</v>
          </cell>
          <cell r="F47" t="str">
            <v>OLADIPO BADRU</v>
          </cell>
        </row>
        <row r="48">
          <cell r="B48" t="str">
            <v>PAT00106</v>
          </cell>
          <cell r="F48" t="str">
            <v>SWAPNIL MAHADIK</v>
          </cell>
        </row>
        <row r="49">
          <cell r="B49" t="str">
            <v>PAT00105</v>
          </cell>
          <cell r="F49" t="str">
            <v>OLADIPO BADRU</v>
          </cell>
        </row>
        <row r="50">
          <cell r="B50" t="str">
            <v>PAT00035</v>
          </cell>
          <cell r="F50" t="str">
            <v>ARUN PANDA</v>
          </cell>
        </row>
        <row r="51">
          <cell r="B51" t="str">
            <v>PAT00142</v>
          </cell>
          <cell r="F51" t="str">
            <v>ANTHONY OSAKWE</v>
          </cell>
        </row>
        <row r="52">
          <cell r="B52" t="str">
            <v>PAT00153</v>
          </cell>
          <cell r="F52" t="str">
            <v>OLAREWAJU IBRAHEEM</v>
          </cell>
        </row>
        <row r="53">
          <cell r="B53" t="str">
            <v>PAT00011</v>
          </cell>
          <cell r="F53" t="str">
            <v>OLUWATOBI OGUNLESI</v>
          </cell>
        </row>
        <row r="54">
          <cell r="B54" t="str">
            <v>PAT00054</v>
          </cell>
          <cell r="F54" t="str">
            <v>ANTHONY OSAKWE</v>
          </cell>
        </row>
        <row r="55">
          <cell r="B55" t="str">
            <v>PAT00015</v>
          </cell>
          <cell r="F55" t="str">
            <v>OLADIPO BADRU</v>
          </cell>
        </row>
        <row r="56">
          <cell r="B56" t="str">
            <v>FD00008</v>
          </cell>
          <cell r="F56" t="str">
            <v>FEMI PHILLIPS OLADIPUPO</v>
          </cell>
        </row>
        <row r="57">
          <cell r="B57" t="str">
            <v>FD00009</v>
          </cell>
          <cell r="F57" t="str">
            <v>BARNABAS AKUHWA</v>
          </cell>
        </row>
        <row r="58">
          <cell r="B58" t="str">
            <v>FD00010</v>
          </cell>
          <cell r="F58" t="str">
            <v>FRANCIS ONWU INYA</v>
          </cell>
        </row>
        <row r="59">
          <cell r="B59" t="str">
            <v>FD00011</v>
          </cell>
          <cell r="F59" t="str">
            <v>FRANCIS ONWU INYA</v>
          </cell>
        </row>
        <row r="60">
          <cell r="B60" t="str">
            <v>FD00013</v>
          </cell>
          <cell r="F60" t="str">
            <v>EMMANUEL EZE</v>
          </cell>
        </row>
        <row r="61">
          <cell r="B61" t="str">
            <v>FD00014</v>
          </cell>
          <cell r="F61" t="str">
            <v>BARNABAS AKUHWA</v>
          </cell>
        </row>
        <row r="62">
          <cell r="B62" t="str">
            <v>FD00015</v>
          </cell>
          <cell r="F62" t="str">
            <v>EMMANUEL EZE</v>
          </cell>
        </row>
        <row r="63">
          <cell r="B63" t="str">
            <v>FD00016</v>
          </cell>
          <cell r="F63" t="str">
            <v>NONSO CHIKANI</v>
          </cell>
        </row>
        <row r="64">
          <cell r="B64" t="str">
            <v>FD00017</v>
          </cell>
          <cell r="F64" t="str">
            <v xml:space="preserve">ODUNLAMI GABRIEL OLUSEYI </v>
          </cell>
        </row>
        <row r="65">
          <cell r="B65" t="str">
            <v>FD00020</v>
          </cell>
          <cell r="F65" t="str">
            <v>EMMANUEL-OLADIMEJI OLAYINKA</v>
          </cell>
        </row>
        <row r="66">
          <cell r="B66" t="str">
            <v>FD00021</v>
          </cell>
          <cell r="F66" t="str">
            <v>EMMANUEL-OLADIMEJI OLAYINKA</v>
          </cell>
        </row>
        <row r="67">
          <cell r="B67" t="str">
            <v>FD00022</v>
          </cell>
          <cell r="F67" t="str">
            <v>BARNABAS AKUHWA</v>
          </cell>
        </row>
        <row r="68">
          <cell r="B68" t="str">
            <v>FD00023</v>
          </cell>
          <cell r="F68" t="str">
            <v>NONSO CHIKANI</v>
          </cell>
        </row>
        <row r="69">
          <cell r="B69" t="str">
            <v>FD00027</v>
          </cell>
          <cell r="F69" t="str">
            <v xml:space="preserve">ODUNLAMI GABRIEL OLUSEYI </v>
          </cell>
        </row>
        <row r="70">
          <cell r="B70" t="str">
            <v>FD00029</v>
          </cell>
          <cell r="F70" t="str">
            <v>EMMANUEL EZE</v>
          </cell>
        </row>
        <row r="71">
          <cell r="B71" t="str">
            <v>FD00032</v>
          </cell>
          <cell r="F71" t="str">
            <v>FEMI PHILLIPS OLADIPUPO</v>
          </cell>
        </row>
        <row r="72">
          <cell r="B72" t="str">
            <v>FD00034</v>
          </cell>
          <cell r="F72" t="str">
            <v>FRANCIS ONWU INYA</v>
          </cell>
        </row>
        <row r="73">
          <cell r="B73" t="str">
            <v>FD00035</v>
          </cell>
          <cell r="F73" t="str">
            <v xml:space="preserve">ODUNLAMI GABRIEL OLUSEYI </v>
          </cell>
        </row>
        <row r="74">
          <cell r="B74" t="str">
            <v>FD00038</v>
          </cell>
          <cell r="F74" t="str">
            <v>BARNABAS AKUHWA</v>
          </cell>
        </row>
        <row r="75">
          <cell r="B75" t="str">
            <v>FD00039</v>
          </cell>
          <cell r="F75" t="str">
            <v>EMMANUEL EZE</v>
          </cell>
        </row>
        <row r="76">
          <cell r="B76" t="str">
            <v>FD00040</v>
          </cell>
          <cell r="F76" t="str">
            <v>FRANCIS ONWU INYA</v>
          </cell>
        </row>
        <row r="77">
          <cell r="B77" t="str">
            <v>FD00041</v>
          </cell>
          <cell r="F77" t="str">
            <v xml:space="preserve">ODUNLAMI GABRIEL OLUSEYI </v>
          </cell>
        </row>
        <row r="78">
          <cell r="B78" t="str">
            <v>FD00042</v>
          </cell>
          <cell r="F78" t="str">
            <v>EMMANUEL-OLADIMEJI OLAYINKA</v>
          </cell>
        </row>
        <row r="79">
          <cell r="B79" t="str">
            <v>FD00043</v>
          </cell>
          <cell r="F79" t="str">
            <v>NONSO CHIKANI</v>
          </cell>
        </row>
        <row r="80">
          <cell r="B80" t="str">
            <v>FD00044</v>
          </cell>
          <cell r="F80" t="str">
            <v>NONSO CHIKANI</v>
          </cell>
        </row>
        <row r="81">
          <cell r="B81" t="str">
            <v>FD00046</v>
          </cell>
          <cell r="F81" t="str">
            <v>SWAPNIL MAHADIK</v>
          </cell>
        </row>
        <row r="82">
          <cell r="B82" t="str">
            <v>FD00047</v>
          </cell>
          <cell r="F82" t="str">
            <v>FEMI PHILLIPS OLADIPUPO</v>
          </cell>
        </row>
        <row r="83">
          <cell r="B83" t="str">
            <v>FD00048</v>
          </cell>
          <cell r="F83" t="str">
            <v>FEMI PHILLIPS OLADIPUPO</v>
          </cell>
        </row>
        <row r="84">
          <cell r="B84" t="str">
            <v>FD00049</v>
          </cell>
          <cell r="F84" t="str">
            <v>EMMANUEL-OLADIMEJI OLAYINKA</v>
          </cell>
        </row>
        <row r="85">
          <cell r="B85" t="str">
            <v>FD00050</v>
          </cell>
          <cell r="F85" t="str">
            <v>EMMANUEL EZE</v>
          </cell>
        </row>
        <row r="86">
          <cell r="B86" t="str">
            <v>FD00051</v>
          </cell>
          <cell r="F86" t="str">
            <v>EMMANUEL-OLADIMEJI OLAYINKA</v>
          </cell>
        </row>
        <row r="87">
          <cell r="B87" t="str">
            <v>FD00052</v>
          </cell>
          <cell r="F87" t="str">
            <v>EMMANUEL EZE</v>
          </cell>
        </row>
        <row r="88">
          <cell r="B88" t="str">
            <v>FD00053</v>
          </cell>
          <cell r="F88" t="str">
            <v>SWAPNIL MAHADIK</v>
          </cell>
        </row>
        <row r="89">
          <cell r="B89" t="str">
            <v>FD00054</v>
          </cell>
          <cell r="F89" t="str">
            <v>SWAPNIL MAHADIK</v>
          </cell>
        </row>
        <row r="90">
          <cell r="B90" t="str">
            <v>FD00055</v>
          </cell>
          <cell r="F90" t="str">
            <v>EMMANUEL EZE</v>
          </cell>
        </row>
        <row r="91">
          <cell r="B91" t="str">
            <v>PAT00057</v>
          </cell>
          <cell r="F91" t="str">
            <v>SWAPNIL MAHADIK</v>
          </cell>
        </row>
        <row r="92">
          <cell r="B92" t="str">
            <v>PAT00209</v>
          </cell>
          <cell r="F92" t="str">
            <v>MURTALA ABDULMUMIN</v>
          </cell>
        </row>
        <row r="93">
          <cell r="B93" t="str">
            <v>FD00001</v>
          </cell>
          <cell r="F93" t="str">
            <v>SWAPNIL MAHADIK</v>
          </cell>
        </row>
        <row r="94">
          <cell r="B94" t="str">
            <v>FD00002</v>
          </cell>
          <cell r="F94" t="str">
            <v>SWAPNIL MAHADIK</v>
          </cell>
        </row>
        <row r="95">
          <cell r="B95" t="str">
            <v>FD00003</v>
          </cell>
          <cell r="F95" t="str">
            <v>SWAPNIL MAHADIK</v>
          </cell>
        </row>
        <row r="96">
          <cell r="B96" t="str">
            <v>FD00004</v>
          </cell>
          <cell r="F96" t="str">
            <v>SWAPNIL MAHADIK</v>
          </cell>
        </row>
        <row r="97">
          <cell r="B97" t="str">
            <v>FD00005</v>
          </cell>
          <cell r="F97" t="str">
            <v>SWAPNIL MAHADIK</v>
          </cell>
        </row>
        <row r="98">
          <cell r="B98" t="str">
            <v>FD00006</v>
          </cell>
          <cell r="F98" t="str">
            <v>SWAPNIL MAHADIK</v>
          </cell>
        </row>
        <row r="99">
          <cell r="B99" t="str">
            <v>FD00007</v>
          </cell>
          <cell r="F99" t="str">
            <v>SWAPNIL MAHADIK</v>
          </cell>
        </row>
        <row r="100">
          <cell r="B100" t="str">
            <v>PAT00113</v>
          </cell>
          <cell r="F100" t="str">
            <v>ARUN PANDA</v>
          </cell>
        </row>
        <row r="101">
          <cell r="B101" t="str">
            <v>PAT00119</v>
          </cell>
          <cell r="F101" t="str">
            <v>MURTALA ABDULMUMIN</v>
          </cell>
        </row>
        <row r="102">
          <cell r="B102" t="str">
            <v>PAT00016</v>
          </cell>
          <cell r="F102" t="str">
            <v>MURTALA ABDULMUMIN</v>
          </cell>
        </row>
        <row r="103">
          <cell r="B103" t="str">
            <v>PAT00044</v>
          </cell>
          <cell r="F103" t="str">
            <v>MURTALA ABDULMUMIN</v>
          </cell>
        </row>
        <row r="104">
          <cell r="B104" t="str">
            <v>PAT00043</v>
          </cell>
          <cell r="F104" t="str">
            <v>MURTALA ABDULMUMIN</v>
          </cell>
        </row>
        <row r="105">
          <cell r="B105" t="str">
            <v>PAT00002</v>
          </cell>
          <cell r="F105" t="str">
            <v>MURTALA ABDULMUMIN</v>
          </cell>
        </row>
        <row r="106">
          <cell r="B106" t="str">
            <v>PAT00040</v>
          </cell>
          <cell r="F106" t="str">
            <v>MURTALA ABDULMUMIN</v>
          </cell>
        </row>
        <row r="107">
          <cell r="B107" t="str">
            <v>PAT00013</v>
          </cell>
          <cell r="F107" t="str">
            <v>MURTALA ABDULMUMIN</v>
          </cell>
        </row>
        <row r="108">
          <cell r="B108" t="str">
            <v>PAT00039</v>
          </cell>
          <cell r="F108" t="str">
            <v>MURTALA ABDULMUMIN</v>
          </cell>
        </row>
        <row r="109">
          <cell r="B109" t="str">
            <v>PAT00047</v>
          </cell>
          <cell r="F109" t="str">
            <v>MURTALA ABDULMUMIN</v>
          </cell>
        </row>
        <row r="110">
          <cell r="B110" t="str">
            <v>PAT00038</v>
          </cell>
          <cell r="F110" t="str">
            <v>MURTALA ABDULMUMIN</v>
          </cell>
        </row>
        <row r="111">
          <cell r="B111" t="str">
            <v>PAT00046</v>
          </cell>
          <cell r="F111" t="str">
            <v>MURTALA ABDULMUMIN</v>
          </cell>
        </row>
        <row r="112">
          <cell r="B112" t="str">
            <v>PAT00045</v>
          </cell>
          <cell r="F112" t="str">
            <v>SWAPNIL MAHADIK</v>
          </cell>
        </row>
        <row r="113">
          <cell r="B113" t="str">
            <v>PAT00111</v>
          </cell>
          <cell r="F113" t="str">
            <v>MURTALA ABDULMUMIN</v>
          </cell>
        </row>
        <row r="114">
          <cell r="B114" t="str">
            <v>PAT00118</v>
          </cell>
          <cell r="F114" t="str">
            <v>MURTALA ABDULMUMIN</v>
          </cell>
        </row>
        <row r="115">
          <cell r="B115" t="str">
            <v>PAT00116</v>
          </cell>
          <cell r="F115" t="str">
            <v>MURTALA ABDULMUMIN</v>
          </cell>
        </row>
        <row r="116">
          <cell r="B116" t="str">
            <v>PAT00165</v>
          </cell>
          <cell r="F116" t="str">
            <v>MURTALA ABDULMUMIN</v>
          </cell>
        </row>
        <row r="117">
          <cell r="B117" t="str">
            <v>PAT00160</v>
          </cell>
          <cell r="F117" t="str">
            <v>MURTALA ABDULMUMIN</v>
          </cell>
        </row>
        <row r="118">
          <cell r="B118" t="str">
            <v>PAT00161</v>
          </cell>
          <cell r="F118" t="str">
            <v>MURTALA ABDULMUMIN</v>
          </cell>
        </row>
        <row r="119">
          <cell r="B119" t="str">
            <v>PAT00110</v>
          </cell>
          <cell r="F119" t="str">
            <v>ARUN PANDA</v>
          </cell>
        </row>
        <row r="120">
          <cell r="B120" t="str">
            <v>PAT00041</v>
          </cell>
          <cell r="F120" t="str">
            <v>MURTALA ABDULMUMIN</v>
          </cell>
        </row>
        <row r="121">
          <cell r="B121" t="str">
            <v>PAT00042</v>
          </cell>
          <cell r="F121" t="str">
            <v>MURTALA ABDULMUMIN</v>
          </cell>
        </row>
        <row r="122">
          <cell r="B122" t="str">
            <v>PAT00007</v>
          </cell>
          <cell r="F122" t="str">
            <v>ANTHONY OSAKWE</v>
          </cell>
        </row>
        <row r="123">
          <cell r="B123" t="str">
            <v>PAT00025</v>
          </cell>
          <cell r="F123" t="str">
            <v>SWAPNIL MAHADIK</v>
          </cell>
        </row>
        <row r="124">
          <cell r="B124" t="str">
            <v>PAT00168</v>
          </cell>
          <cell r="F124" t="str">
            <v xml:space="preserve">OLAONIPEKUN IKUOMOLA </v>
          </cell>
        </row>
        <row r="125">
          <cell r="B125" t="str">
            <v>PAT00171</v>
          </cell>
          <cell r="F125" t="str">
            <v>ANTHONY OSAKWE</v>
          </cell>
        </row>
        <row r="126">
          <cell r="B126" t="str">
            <v>PAT00051</v>
          </cell>
          <cell r="F126" t="str">
            <v>MURTALA ABDULMUMIN</v>
          </cell>
        </row>
        <row r="127">
          <cell r="B127" t="str">
            <v>PAT00006</v>
          </cell>
          <cell r="F127" t="str">
            <v>MURTALA ABDULMUMIN</v>
          </cell>
        </row>
        <row r="128">
          <cell r="B128" t="str">
            <v>PAT00001</v>
          </cell>
          <cell r="F128" t="str">
            <v>ARUN PANDA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B2" t="str">
            <v>PAT00153</v>
          </cell>
        </row>
        <row r="3">
          <cell r="B3" t="str">
            <v>PAT00153</v>
          </cell>
        </row>
        <row r="4">
          <cell r="B4" t="str">
            <v>PAT00153</v>
          </cell>
        </row>
        <row r="5">
          <cell r="B5" t="str">
            <v>PAT00153</v>
          </cell>
        </row>
        <row r="6">
          <cell r="B6" t="str">
            <v>PAT00153</v>
          </cell>
        </row>
        <row r="7">
          <cell r="B7" t="str">
            <v>PAT00153</v>
          </cell>
        </row>
        <row r="8">
          <cell r="B8" t="str">
            <v>PAT00153</v>
          </cell>
        </row>
        <row r="9">
          <cell r="B9" t="str">
            <v>PAT00153</v>
          </cell>
        </row>
        <row r="10">
          <cell r="B10" t="str">
            <v>PAT00153</v>
          </cell>
        </row>
        <row r="11">
          <cell r="B11" t="str">
            <v>PAT00153</v>
          </cell>
        </row>
        <row r="12">
          <cell r="B12" t="str">
            <v>PAT00153</v>
          </cell>
        </row>
        <row r="13">
          <cell r="B13" t="str">
            <v>PAT00153</v>
          </cell>
        </row>
        <row r="14">
          <cell r="B14" t="str">
            <v>PAT00153</v>
          </cell>
        </row>
        <row r="15">
          <cell r="B15" t="str">
            <v>PAT00153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FC462-D146-4CB0-A6BA-44124AC26827}">
  <dimension ref="A1:F95"/>
  <sheetViews>
    <sheetView showGridLines="0" tabSelected="1" zoomScale="80" zoomScaleNormal="80" workbookViewId="0">
      <selection activeCell="B52" sqref="B52"/>
    </sheetView>
  </sheetViews>
  <sheetFormatPr defaultRowHeight="14.4" x14ac:dyDescent="0.3"/>
  <cols>
    <col min="1" max="1" width="48.6640625" customWidth="1"/>
    <col min="2" max="2" width="71.109375" customWidth="1"/>
    <col min="3" max="3" width="9.109375" customWidth="1"/>
    <col min="4" max="4" width="22.88671875" bestFit="1" customWidth="1"/>
    <col min="5" max="5" width="15.21875" customWidth="1"/>
    <col min="6" max="6" width="7.21875" customWidth="1"/>
  </cols>
  <sheetData>
    <row r="1" spans="1:6" s="126" customFormat="1" ht="55.95" customHeight="1" thickBot="1" x14ac:dyDescent="0.35">
      <c r="A1" s="11"/>
      <c r="B1" s="106" t="s">
        <v>0</v>
      </c>
      <c r="C1" s="14"/>
      <c r="D1" s="14"/>
      <c r="E1" s="14"/>
      <c r="F1" s="1"/>
    </row>
    <row r="2" spans="1:6" s="126" customFormat="1" x14ac:dyDescent="0.3">
      <c r="A2" s="8"/>
      <c r="B2"/>
      <c r="C2"/>
      <c r="D2"/>
      <c r="E2"/>
      <c r="F2" s="2"/>
    </row>
    <row r="3" spans="1:6" s="126" customFormat="1" ht="18.600000000000001" thickBot="1" x14ac:dyDescent="0.4">
      <c r="A3" s="15"/>
      <c r="B3"/>
      <c r="C3"/>
      <c r="D3"/>
      <c r="E3"/>
      <c r="F3" s="2"/>
    </row>
    <row r="4" spans="1:6" s="126" customFormat="1" ht="18.600000000000001" thickBot="1" x14ac:dyDescent="0.4">
      <c r="A4" s="290" t="s">
        <v>6</v>
      </c>
      <c r="B4" s="291"/>
      <c r="C4"/>
      <c r="D4" s="292" t="s">
        <v>18</v>
      </c>
      <c r="E4" s="293"/>
      <c r="F4" s="2"/>
    </row>
    <row r="5" spans="1:6" s="126" customFormat="1" ht="18" x14ac:dyDescent="0.35">
      <c r="A5" s="5" t="s">
        <v>5</v>
      </c>
      <c r="B5" s="331" t="s">
        <v>836</v>
      </c>
      <c r="C5"/>
      <c r="D5" s="120" t="s">
        <v>20</v>
      </c>
      <c r="E5" s="121">
        <v>1</v>
      </c>
      <c r="F5" s="2"/>
    </row>
    <row r="6" spans="1:6" s="126" customFormat="1" ht="18" x14ac:dyDescent="0.35">
      <c r="A6" s="6" t="s">
        <v>2</v>
      </c>
      <c r="B6" s="17" t="str">
        <f>INDEX('Staff list'!C:C,MATCH('Mid-Year Review'!B5,'Staff list'!B:B,0))</f>
        <v>TOLUWANIMI AKINYEMI</v>
      </c>
      <c r="C6"/>
      <c r="D6" s="122" t="s">
        <v>20</v>
      </c>
      <c r="E6" s="123">
        <v>2</v>
      </c>
      <c r="F6" s="2"/>
    </row>
    <row r="7" spans="1:6" s="126" customFormat="1" ht="18" x14ac:dyDescent="0.35">
      <c r="A7" s="6" t="s">
        <v>1</v>
      </c>
      <c r="B7" s="17" t="str">
        <f>INDEX('Staff list'!D:D,MATCH('Mid-Year Review'!B5,'Staff list'!B:B,0))</f>
        <v>Technical (NOC)</v>
      </c>
      <c r="C7"/>
      <c r="D7" s="122" t="s">
        <v>21</v>
      </c>
      <c r="E7" s="123">
        <v>3</v>
      </c>
      <c r="F7" s="2"/>
    </row>
    <row r="8" spans="1:6" s="126" customFormat="1" ht="18" x14ac:dyDescent="0.35">
      <c r="A8" s="6" t="s">
        <v>3</v>
      </c>
      <c r="B8" s="17" t="str">
        <f>INDEX('Staff list'!D:D,MATCH('Mid-Year Review'!B5,'Staff list'!B:B,0))</f>
        <v>Technical (NOC)</v>
      </c>
      <c r="C8"/>
      <c r="D8" s="122" t="s">
        <v>22</v>
      </c>
      <c r="E8" s="123">
        <v>4</v>
      </c>
      <c r="F8" s="2"/>
    </row>
    <row r="9" spans="1:6" s="126" customFormat="1" ht="18.600000000000001" thickBot="1" x14ac:dyDescent="0.4">
      <c r="A9" s="7" t="s">
        <v>4</v>
      </c>
      <c r="B9" s="18" t="str">
        <f>INDEX('Staff list'!D:D,MATCH('Mid-Year Review'!B5,'Staff list'!B:B,0))</f>
        <v>Technical (NOC)</v>
      </c>
      <c r="C9"/>
      <c r="D9" s="124" t="s">
        <v>23</v>
      </c>
      <c r="E9" s="125">
        <v>5</v>
      </c>
      <c r="F9" s="2"/>
    </row>
    <row r="10" spans="1:6" s="126" customFormat="1" ht="15" thickBot="1" x14ac:dyDescent="0.35">
      <c r="A10" s="8"/>
      <c r="B10"/>
      <c r="C10"/>
      <c r="D10" s="129"/>
      <c r="E10" s="130"/>
      <c r="F10" s="2"/>
    </row>
    <row r="11" spans="1:6" s="126" customFormat="1" ht="44.55" customHeight="1" thickBot="1" x14ac:dyDescent="0.35">
      <c r="A11" s="10" t="s">
        <v>24</v>
      </c>
      <c r="B11" s="104">
        <f>F55</f>
        <v>0</v>
      </c>
      <c r="C11"/>
      <c r="D11"/>
      <c r="E11"/>
      <c r="F11" s="2"/>
    </row>
    <row r="12" spans="1:6" s="126" customFormat="1" ht="49.95" customHeight="1" thickBot="1" x14ac:dyDescent="0.35">
      <c r="A12" s="10" t="s">
        <v>25</v>
      </c>
      <c r="B12" s="131" t="str">
        <f>IF(B11&gt;=101%, "Exceeds Expectation", IF(B11&gt;=80%, "Meets Expectation", IF(B11&gt;=60%, "Needs Improvement", "Unacceptable")))</f>
        <v>Unacceptable</v>
      </c>
      <c r="C12"/>
      <c r="D12"/>
      <c r="E12"/>
      <c r="F12" s="2"/>
    </row>
    <row r="13" spans="1:6" s="126" customFormat="1" x14ac:dyDescent="0.3">
      <c r="A13" s="8"/>
      <c r="B13"/>
      <c r="C13"/>
      <c r="D13"/>
      <c r="E13"/>
      <c r="F13" s="2"/>
    </row>
    <row r="14" spans="1:6" s="126" customFormat="1" ht="15" thickBot="1" x14ac:dyDescent="0.35">
      <c r="A14" s="8"/>
      <c r="B14"/>
      <c r="C14"/>
      <c r="D14"/>
      <c r="E14"/>
      <c r="F14" s="2"/>
    </row>
    <row r="15" spans="1:6" s="126" customFormat="1" ht="30" customHeight="1" thickBot="1" x14ac:dyDescent="0.35">
      <c r="A15" s="10" t="s">
        <v>7</v>
      </c>
      <c r="B15" s="105" t="s">
        <v>19</v>
      </c>
      <c r="C15"/>
      <c r="D15"/>
      <c r="E15"/>
      <c r="F15" s="2"/>
    </row>
    <row r="16" spans="1:6" s="126" customFormat="1" x14ac:dyDescent="0.3">
      <c r="A16" s="8"/>
      <c r="B16"/>
      <c r="C16"/>
      <c r="D16"/>
      <c r="E16"/>
      <c r="F16" s="2"/>
    </row>
    <row r="17" spans="1:6" s="126" customFormat="1" ht="15" thickBot="1" x14ac:dyDescent="0.35">
      <c r="A17" s="8"/>
      <c r="B17"/>
      <c r="C17"/>
      <c r="D17"/>
      <c r="E17"/>
      <c r="F17" s="2"/>
    </row>
    <row r="18" spans="1:6" s="126" customFormat="1" ht="30" customHeight="1" thickBot="1" x14ac:dyDescent="0.35">
      <c r="A18" s="4" t="s">
        <v>8</v>
      </c>
      <c r="B18" s="12" t="s">
        <v>9</v>
      </c>
      <c r="C18" s="13" t="s">
        <v>10</v>
      </c>
      <c r="D18" s="107" t="s">
        <v>15</v>
      </c>
      <c r="E18" s="107" t="s">
        <v>11</v>
      </c>
      <c r="F18" s="127" t="s">
        <v>12</v>
      </c>
    </row>
    <row r="19" spans="1:6" s="126" customFormat="1" ht="28.8" x14ac:dyDescent="0.3">
      <c r="A19" s="280" t="str" cm="1">
        <f t="array" ref="A19:A24">_xlfn._xlws.FILTER(OKRs!F:F,OKRs!C:C='Mid-Year Review'!B6)</f>
        <v>NOC Ticket closure rate-MTN</v>
      </c>
      <c r="B19" s="281" t="str" cm="1">
        <f t="array" ref="B19:B24">_xlfn._xlws.FILTER(OKRs!J:J,OKRs!C:C='Mid-Year Review'!B6)</f>
        <v>Ensure 70% Daily closure rate of MTN tickets</v>
      </c>
      <c r="C19" s="108" cm="1">
        <f t="array" ref="C19:C24">_xlfn._xlws.FILTER(OKRs!H:H,OKRs!C:C='Mid-Year Review'!B6)</f>
        <v>0.3</v>
      </c>
      <c r="D19" s="116">
        <v>4</v>
      </c>
      <c r="E19" s="113"/>
      <c r="F19" s="21">
        <f t="shared" ref="F19:F54" si="0">E19/4*C19</f>
        <v>0</v>
      </c>
    </row>
    <row r="20" spans="1:6" s="126" customFormat="1" ht="28.8" x14ac:dyDescent="0.3">
      <c r="A20" s="282" t="str">
        <v>RCA Accuracy of tickets which matches the on- field actual root causes and resolution (e.g., Trip Breaker for over 2.5 hours is unacceptable or  Synchronization failure between Grid-DG, DG powered is not a correct RCA)</v>
      </c>
      <c r="B20" s="283" t="str">
        <v>Ensure 95% RCA accuracy rate of tickets which matches the on- field actual root causes and resolution</v>
      </c>
      <c r="C20" s="109">
        <v>0.2</v>
      </c>
      <c r="D20" s="117">
        <v>5</v>
      </c>
      <c r="E20" s="114"/>
      <c r="F20" s="19">
        <f t="shared" si="0"/>
        <v>0</v>
      </c>
    </row>
    <row r="21" spans="1:6" s="126" customFormat="1" ht="28.8" x14ac:dyDescent="0.3">
      <c r="A21" s="282" t="str">
        <v>65% and above sites meeting PA &gt; 99.5% for MTN</v>
      </c>
      <c r="B21" s="283" t="str">
        <v>65% and above sites meeting PA &gt; 99.5% for MTN</v>
      </c>
      <c r="C21" s="109">
        <v>0.15</v>
      </c>
      <c r="D21" s="117">
        <v>5</v>
      </c>
      <c r="E21" s="114"/>
      <c r="F21" s="19">
        <f t="shared" si="0"/>
        <v>0</v>
      </c>
    </row>
    <row r="22" spans="1:6" s="126" customFormat="1" ht="28.8" x14ac:dyDescent="0.3">
      <c r="A22" s="282" t="str">
        <v>Ensure average fault count &lt;41</v>
      </c>
      <c r="B22" s="283" t="str">
        <v>Ensure average fault count &lt;41</v>
      </c>
      <c r="C22" s="109">
        <v>0.15</v>
      </c>
      <c r="D22" s="117">
        <v>5</v>
      </c>
      <c r="E22" s="114"/>
      <c r="F22" s="19">
        <f t="shared" si="0"/>
        <v>0</v>
      </c>
    </row>
    <row r="23" spans="1:6" s="126" customFormat="1" ht="28.8" x14ac:dyDescent="0.3">
      <c r="A23" s="282" t="str">
        <v>Ensure MTTR &lt;90minutes</v>
      </c>
      <c r="B23" s="283" t="str">
        <v>Ensure MTTR &lt;120minutes</v>
      </c>
      <c r="C23" s="109">
        <v>0.1</v>
      </c>
      <c r="D23" s="117">
        <v>4</v>
      </c>
      <c r="E23" s="114"/>
      <c r="F23" s="19">
        <f t="shared" si="0"/>
        <v>0</v>
      </c>
    </row>
    <row r="24" spans="1:6" s="126" customFormat="1" ht="28.8" x14ac:dyDescent="0.3">
      <c r="A24" s="282" t="str">
        <v>Ensure reduction of Passive alarm count</v>
      </c>
      <c r="B24" s="283" t="str">
        <v>Ensure 1% Monthly reduction of Critical Passive alarm</v>
      </c>
      <c r="C24" s="109">
        <v>0.1</v>
      </c>
      <c r="D24" s="117">
        <v>4</v>
      </c>
      <c r="E24" s="114"/>
      <c r="F24" s="19">
        <f t="shared" si="0"/>
        <v>0</v>
      </c>
    </row>
    <row r="25" spans="1:6" s="126" customFormat="1" ht="28.8" x14ac:dyDescent="0.3">
      <c r="A25" s="282"/>
      <c r="B25" s="283"/>
      <c r="C25" s="109"/>
      <c r="D25" s="117"/>
      <c r="E25" s="114"/>
      <c r="F25" s="19">
        <f t="shared" si="0"/>
        <v>0</v>
      </c>
    </row>
    <row r="26" spans="1:6" s="126" customFormat="1" ht="28.8" x14ac:dyDescent="0.3">
      <c r="A26" s="282"/>
      <c r="B26" s="283"/>
      <c r="C26" s="109"/>
      <c r="D26" s="117"/>
      <c r="E26" s="114"/>
      <c r="F26" s="19">
        <f t="shared" si="0"/>
        <v>0</v>
      </c>
    </row>
    <row r="27" spans="1:6" s="126" customFormat="1" ht="28.8" x14ac:dyDescent="0.3">
      <c r="A27" s="282"/>
      <c r="B27" s="283"/>
      <c r="C27" s="109"/>
      <c r="D27" s="117"/>
      <c r="E27" s="114"/>
      <c r="F27" s="19">
        <f t="shared" si="0"/>
        <v>0</v>
      </c>
    </row>
    <row r="28" spans="1:6" s="126" customFormat="1" ht="28.8" x14ac:dyDescent="0.3">
      <c r="A28" s="282"/>
      <c r="B28" s="283"/>
      <c r="C28" s="109"/>
      <c r="D28" s="117"/>
      <c r="E28" s="114"/>
      <c r="F28" s="19">
        <f t="shared" si="0"/>
        <v>0</v>
      </c>
    </row>
    <row r="29" spans="1:6" s="126" customFormat="1" ht="28.8" x14ac:dyDescent="0.3">
      <c r="A29" s="282"/>
      <c r="B29" s="283"/>
      <c r="C29" s="109"/>
      <c r="D29" s="117"/>
      <c r="E29" s="114"/>
      <c r="F29" s="19">
        <f t="shared" si="0"/>
        <v>0</v>
      </c>
    </row>
    <row r="30" spans="1:6" s="126" customFormat="1" ht="28.8" x14ac:dyDescent="0.3">
      <c r="A30" s="282"/>
      <c r="B30" s="283"/>
      <c r="C30" s="109"/>
      <c r="D30" s="117"/>
      <c r="E30" s="114"/>
      <c r="F30" s="19">
        <f t="shared" si="0"/>
        <v>0</v>
      </c>
    </row>
    <row r="31" spans="1:6" s="126" customFormat="1" ht="28.8" x14ac:dyDescent="0.3">
      <c r="A31" s="282"/>
      <c r="B31" s="283"/>
      <c r="C31" s="109"/>
      <c r="D31" s="117"/>
      <c r="E31" s="114"/>
      <c r="F31" s="19">
        <f t="shared" si="0"/>
        <v>0</v>
      </c>
    </row>
    <row r="32" spans="1:6" s="126" customFormat="1" ht="28.8" x14ac:dyDescent="0.3">
      <c r="A32" s="282"/>
      <c r="B32" s="283"/>
      <c r="C32" s="109"/>
      <c r="D32" s="117"/>
      <c r="E32" s="114"/>
      <c r="F32" s="19">
        <f t="shared" si="0"/>
        <v>0</v>
      </c>
    </row>
    <row r="33" spans="1:6" s="126" customFormat="1" ht="28.8" x14ac:dyDescent="0.3">
      <c r="A33" s="282"/>
      <c r="B33" s="283"/>
      <c r="C33" s="109"/>
      <c r="D33" s="117"/>
      <c r="E33" s="114"/>
      <c r="F33" s="19">
        <f t="shared" si="0"/>
        <v>0</v>
      </c>
    </row>
    <row r="34" spans="1:6" s="126" customFormat="1" ht="28.8" x14ac:dyDescent="0.3">
      <c r="A34" s="282"/>
      <c r="B34" s="283"/>
      <c r="C34" s="109"/>
      <c r="D34" s="117"/>
      <c r="E34" s="114"/>
      <c r="F34" s="19">
        <f t="shared" si="0"/>
        <v>0</v>
      </c>
    </row>
    <row r="35" spans="1:6" s="126" customFormat="1" ht="28.8" x14ac:dyDescent="0.3">
      <c r="A35" s="282"/>
      <c r="B35" s="283"/>
      <c r="C35" s="109"/>
      <c r="D35" s="117"/>
      <c r="E35" s="114"/>
      <c r="F35" s="19">
        <f t="shared" si="0"/>
        <v>0</v>
      </c>
    </row>
    <row r="36" spans="1:6" s="126" customFormat="1" ht="28.8" x14ac:dyDescent="0.3">
      <c r="A36" s="282"/>
      <c r="B36" s="283"/>
      <c r="C36" s="109"/>
      <c r="D36" s="117"/>
      <c r="E36" s="114"/>
      <c r="F36" s="19">
        <f t="shared" si="0"/>
        <v>0</v>
      </c>
    </row>
    <row r="37" spans="1:6" s="126" customFormat="1" ht="28.8" x14ac:dyDescent="0.3">
      <c r="A37" s="282"/>
      <c r="B37" s="283"/>
      <c r="C37" s="109"/>
      <c r="D37" s="117"/>
      <c r="E37" s="114"/>
      <c r="F37" s="19">
        <f t="shared" si="0"/>
        <v>0</v>
      </c>
    </row>
    <row r="38" spans="1:6" s="126" customFormat="1" ht="28.8" x14ac:dyDescent="0.3">
      <c r="A38" s="282"/>
      <c r="B38" s="283"/>
      <c r="C38" s="109"/>
      <c r="D38" s="117"/>
      <c r="E38" s="114"/>
      <c r="F38" s="19">
        <f t="shared" si="0"/>
        <v>0</v>
      </c>
    </row>
    <row r="39" spans="1:6" s="126" customFormat="1" x14ac:dyDescent="0.3">
      <c r="A39" s="282"/>
      <c r="B39" s="283"/>
      <c r="C39" s="109"/>
      <c r="D39" s="117"/>
      <c r="E39" s="114"/>
      <c r="F39" s="19">
        <f t="shared" si="0"/>
        <v>0</v>
      </c>
    </row>
    <row r="40" spans="1:6" s="126" customFormat="1" x14ac:dyDescent="0.3">
      <c r="A40" s="282"/>
      <c r="B40" s="283"/>
      <c r="C40" s="109"/>
      <c r="D40" s="117"/>
      <c r="E40" s="114"/>
      <c r="F40" s="19">
        <f t="shared" si="0"/>
        <v>0</v>
      </c>
    </row>
    <row r="41" spans="1:6" s="126" customFormat="1" x14ac:dyDescent="0.3">
      <c r="A41" s="282"/>
      <c r="B41" s="283"/>
      <c r="C41" s="109"/>
      <c r="D41" s="117"/>
      <c r="E41" s="114"/>
      <c r="F41" s="19">
        <f t="shared" si="0"/>
        <v>0</v>
      </c>
    </row>
    <row r="42" spans="1:6" s="126" customFormat="1" ht="28.8" x14ac:dyDescent="0.3">
      <c r="A42" s="282"/>
      <c r="B42" s="283"/>
      <c r="C42" s="109"/>
      <c r="D42" s="117"/>
      <c r="E42" s="114"/>
      <c r="F42" s="19">
        <f t="shared" si="0"/>
        <v>0</v>
      </c>
    </row>
    <row r="43" spans="1:6" s="126" customFormat="1" x14ac:dyDescent="0.3">
      <c r="A43" s="282"/>
      <c r="B43" s="283"/>
      <c r="C43" s="109"/>
      <c r="D43" s="117"/>
      <c r="E43" s="114"/>
      <c r="F43" s="19">
        <f t="shared" si="0"/>
        <v>0</v>
      </c>
    </row>
    <row r="44" spans="1:6" s="126" customFormat="1" x14ac:dyDescent="0.3">
      <c r="A44" s="282"/>
      <c r="B44" s="283"/>
      <c r="C44" s="109"/>
      <c r="D44" s="117"/>
      <c r="E44" s="114"/>
      <c r="F44" s="19">
        <f t="shared" si="0"/>
        <v>0</v>
      </c>
    </row>
    <row r="45" spans="1:6" s="126" customFormat="1" x14ac:dyDescent="0.3">
      <c r="A45" s="282"/>
      <c r="B45" s="283"/>
      <c r="C45" s="109"/>
      <c r="D45" s="117"/>
      <c r="E45" s="114"/>
      <c r="F45" s="19">
        <f t="shared" si="0"/>
        <v>0</v>
      </c>
    </row>
    <row r="46" spans="1:6" s="126" customFormat="1" x14ac:dyDescent="0.3">
      <c r="A46" s="282"/>
      <c r="B46" s="283"/>
      <c r="C46" s="109"/>
      <c r="D46" s="117"/>
      <c r="E46" s="114"/>
      <c r="F46" s="19">
        <f t="shared" si="0"/>
        <v>0</v>
      </c>
    </row>
    <row r="47" spans="1:6" s="126" customFormat="1" x14ac:dyDescent="0.3">
      <c r="A47" s="282"/>
      <c r="B47" s="283"/>
      <c r="C47" s="109"/>
      <c r="D47" s="117"/>
      <c r="E47" s="114"/>
      <c r="F47" s="19">
        <f t="shared" si="0"/>
        <v>0</v>
      </c>
    </row>
    <row r="48" spans="1:6" s="126" customFormat="1" x14ac:dyDescent="0.3">
      <c r="A48" s="282"/>
      <c r="B48" s="283"/>
      <c r="C48" s="109"/>
      <c r="D48" s="117"/>
      <c r="E48" s="114"/>
      <c r="F48" s="19">
        <f t="shared" si="0"/>
        <v>0</v>
      </c>
    </row>
    <row r="49" spans="1:6" s="126" customFormat="1" x14ac:dyDescent="0.3">
      <c r="A49" s="282"/>
      <c r="B49" s="283"/>
      <c r="C49" s="109"/>
      <c r="D49" s="117"/>
      <c r="E49" s="114"/>
      <c r="F49" s="19">
        <f t="shared" si="0"/>
        <v>0</v>
      </c>
    </row>
    <row r="50" spans="1:6" s="126" customFormat="1" x14ac:dyDescent="0.3">
      <c r="A50" s="282"/>
      <c r="B50" s="283"/>
      <c r="C50" s="109"/>
      <c r="D50" s="117"/>
      <c r="E50" s="114"/>
      <c r="F50" s="19">
        <f t="shared" si="0"/>
        <v>0</v>
      </c>
    </row>
    <row r="51" spans="1:6" s="126" customFormat="1" x14ac:dyDescent="0.3">
      <c r="A51" s="282"/>
      <c r="B51" s="283"/>
      <c r="C51" s="109"/>
      <c r="D51" s="117"/>
      <c r="E51" s="114"/>
      <c r="F51" s="19">
        <f t="shared" si="0"/>
        <v>0</v>
      </c>
    </row>
    <row r="52" spans="1:6" s="126" customFormat="1" x14ac:dyDescent="0.3">
      <c r="A52" s="282"/>
      <c r="B52" s="283"/>
      <c r="C52" s="109"/>
      <c r="D52" s="117"/>
      <c r="E52" s="114"/>
      <c r="F52" s="19">
        <f t="shared" si="0"/>
        <v>0</v>
      </c>
    </row>
    <row r="53" spans="1:6" s="126" customFormat="1" x14ac:dyDescent="0.3">
      <c r="A53" s="282"/>
      <c r="B53" s="283"/>
      <c r="C53" s="109"/>
      <c r="D53" s="117"/>
      <c r="E53" s="114"/>
      <c r="F53" s="19">
        <f t="shared" si="0"/>
        <v>0</v>
      </c>
    </row>
    <row r="54" spans="1:6" s="126" customFormat="1" ht="15" thickBot="1" x14ac:dyDescent="0.35">
      <c r="A54" s="284"/>
      <c r="B54" s="285"/>
      <c r="C54" s="110"/>
      <c r="D54" s="118"/>
      <c r="E54" s="115"/>
      <c r="F54" s="20">
        <f t="shared" si="0"/>
        <v>0</v>
      </c>
    </row>
    <row r="55" spans="1:6" s="126" customFormat="1" ht="15" thickBot="1" x14ac:dyDescent="0.35">
      <c r="A55" s="4" t="s">
        <v>17</v>
      </c>
      <c r="B55" s="4"/>
      <c r="C55" s="103">
        <f>SUM(C19:C54)</f>
        <v>1</v>
      </c>
      <c r="D55" s="111"/>
      <c r="E55" s="112"/>
      <c r="F55" s="128">
        <f>SUM(F19:F54)</f>
        <v>0</v>
      </c>
    </row>
    <row r="56" spans="1:6" s="126" customFormat="1" x14ac:dyDescent="0.3">
      <c r="A56" s="8"/>
      <c r="B56"/>
      <c r="C56"/>
      <c r="D56"/>
      <c r="E56"/>
      <c r="F56" s="22"/>
    </row>
    <row r="57" spans="1:6" s="126" customFormat="1" ht="15" thickBot="1" x14ac:dyDescent="0.35">
      <c r="A57" s="8"/>
      <c r="B57"/>
      <c r="C57"/>
      <c r="D57"/>
      <c r="E57"/>
      <c r="F57" s="2"/>
    </row>
    <row r="58" spans="1:6" s="126" customFormat="1" ht="72" customHeight="1" thickBot="1" x14ac:dyDescent="0.35">
      <c r="A58" s="132" t="s">
        <v>14</v>
      </c>
      <c r="B58" s="332" t="s">
        <v>1082</v>
      </c>
      <c r="C58" s="288" t="str">
        <f>INDEX(OKRs!C:C,MATCH('Mid-Year Review'!B5,OKRs!B:B,0))</f>
        <v>TOLUWANIMI AKINYEMI</v>
      </c>
      <c r="D58" s="289"/>
      <c r="E58"/>
      <c r="F58" s="2"/>
    </row>
    <row r="59" spans="1:6" s="126" customFormat="1" ht="72" customHeight="1" thickBot="1" x14ac:dyDescent="0.35">
      <c r="A59" s="132" t="s">
        <v>13</v>
      </c>
      <c r="B59" s="119"/>
      <c r="C59" s="288" t="str">
        <f>INDEX(OKRs!L:L,MATCH('Mid-Year Review'!B5,OKRs!B:B,0))</f>
        <v>MURTALA ABDULMUMIN</v>
      </c>
      <c r="D59" s="289"/>
      <c r="E59"/>
      <c r="F59" s="2"/>
    </row>
    <row r="60" spans="1:6" s="126" customFormat="1" x14ac:dyDescent="0.3">
      <c r="A60" s="8"/>
      <c r="B60"/>
      <c r="C60"/>
      <c r="D60"/>
      <c r="E60"/>
      <c r="F60" s="2"/>
    </row>
    <row r="61" spans="1:6" s="126" customFormat="1" x14ac:dyDescent="0.3">
      <c r="A61" s="8"/>
      <c r="B61"/>
      <c r="C61"/>
      <c r="D61"/>
      <c r="E61"/>
      <c r="F61" s="2"/>
    </row>
    <row r="62" spans="1:6" s="126" customFormat="1" x14ac:dyDescent="0.3">
      <c r="A62" s="8"/>
      <c r="B62"/>
      <c r="C62"/>
      <c r="D62"/>
      <c r="E62"/>
      <c r="F62" s="2"/>
    </row>
    <row r="63" spans="1:6" s="126" customFormat="1" ht="15" thickBot="1" x14ac:dyDescent="0.35">
      <c r="A63" s="9"/>
      <c r="B63" s="16"/>
      <c r="C63" s="16"/>
      <c r="D63" s="16"/>
      <c r="E63" s="16"/>
      <c r="F63" s="3"/>
    </row>
    <row r="64" spans="1:6" s="126" customFormat="1" x14ac:dyDescent="0.3"/>
    <row r="65" s="126" customFormat="1" x14ac:dyDescent="0.3"/>
    <row r="66" s="126" customFormat="1" x14ac:dyDescent="0.3"/>
    <row r="67" s="126" customFormat="1" x14ac:dyDescent="0.3"/>
    <row r="68" s="126" customFormat="1" x14ac:dyDescent="0.3"/>
    <row r="69" s="126" customFormat="1" x14ac:dyDescent="0.3"/>
    <row r="70" s="126" customFormat="1" x14ac:dyDescent="0.3"/>
    <row r="71" s="126" customFormat="1" x14ac:dyDescent="0.3"/>
    <row r="72" s="126" customFormat="1" x14ac:dyDescent="0.3"/>
    <row r="73" s="126" customFormat="1" x14ac:dyDescent="0.3"/>
    <row r="74" s="126" customFormat="1" x14ac:dyDescent="0.3"/>
    <row r="75" s="126" customFormat="1" x14ac:dyDescent="0.3"/>
    <row r="76" s="126" customFormat="1" x14ac:dyDescent="0.3"/>
    <row r="77" s="126" customFormat="1" x14ac:dyDescent="0.3"/>
    <row r="78" s="126" customFormat="1" x14ac:dyDescent="0.3"/>
    <row r="79" s="126" customFormat="1" x14ac:dyDescent="0.3"/>
    <row r="80" s="126" customFormat="1" x14ac:dyDescent="0.3"/>
    <row r="81" spans="4:5" s="126" customFormat="1" x14ac:dyDescent="0.3"/>
    <row r="82" spans="4:5" s="126" customFormat="1" x14ac:dyDescent="0.3"/>
    <row r="83" spans="4:5" s="126" customFormat="1" x14ac:dyDescent="0.3"/>
    <row r="84" spans="4:5" s="126" customFormat="1" x14ac:dyDescent="0.3"/>
    <row r="85" spans="4:5" s="126" customFormat="1" x14ac:dyDescent="0.3"/>
    <row r="86" spans="4:5" s="126" customFormat="1" x14ac:dyDescent="0.3"/>
    <row r="87" spans="4:5" s="126" customFormat="1" x14ac:dyDescent="0.3"/>
    <row r="88" spans="4:5" s="126" customFormat="1" x14ac:dyDescent="0.3"/>
    <row r="89" spans="4:5" s="126" customFormat="1" x14ac:dyDescent="0.3"/>
    <row r="90" spans="4:5" s="126" customFormat="1" x14ac:dyDescent="0.3"/>
    <row r="91" spans="4:5" s="126" customFormat="1" x14ac:dyDescent="0.3"/>
    <row r="92" spans="4:5" s="126" customFormat="1" x14ac:dyDescent="0.3"/>
    <row r="93" spans="4:5" s="126" customFormat="1" x14ac:dyDescent="0.3"/>
    <row r="94" spans="4:5" s="126" customFormat="1" x14ac:dyDescent="0.3"/>
    <row r="95" spans="4:5" x14ac:dyDescent="0.3">
      <c r="D95" s="126"/>
      <c r="E95" s="126"/>
    </row>
  </sheetData>
  <sheetProtection algorithmName="SHA-512" hashValue="jvtthBSKJ/3z6y0bgyKCwRHvh1sYwfBIZyBr+/DWFX2Ed9HCljna/LtEgjm+e/nHOhjTHlMhlUM6a+RRfmdPvQ==" saltValue="VJ6KwYVVZrdcmDEp0ObhtA==" spinCount="100000" sheet="1" objects="1" scenarios="1"/>
  <mergeCells count="4">
    <mergeCell ref="C59:D59"/>
    <mergeCell ref="C58:D58"/>
    <mergeCell ref="A4:B4"/>
    <mergeCell ref="D4:E4"/>
  </mergeCells>
  <conditionalFormatting sqref="B5">
    <cfRule type="duplicateValues" dxfId="163" priority="1"/>
    <cfRule type="duplicateValues" dxfId="162" priority="2"/>
    <cfRule type="duplicateValues" dxfId="161" priority="3"/>
    <cfRule type="duplicateValues" dxfId="160" priority="4"/>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9885FA9-4E76-47EF-9FF7-F7DA8F512A07}">
          <x14:formula1>
            <xm:f>Sheet2!$A$1:$A$5</xm:f>
          </x14:formula1>
          <xm:sqref>D19:E54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7E51-1DC7-4E3A-9295-93CC2FCB2F0F}">
  <dimension ref="A1:L1073"/>
  <sheetViews>
    <sheetView topLeftCell="A1056" workbookViewId="0">
      <selection activeCell="N1071" sqref="N1071"/>
    </sheetView>
  </sheetViews>
  <sheetFormatPr defaultColWidth="150.5546875" defaultRowHeight="14.4" x14ac:dyDescent="0.3"/>
  <cols>
    <col min="1" max="1" width="3.88671875" bestFit="1" customWidth="1"/>
    <col min="2" max="2" width="8.88671875" hidden="1" customWidth="1"/>
    <col min="3" max="3" width="24.6640625" hidden="1" customWidth="1"/>
    <col min="4" max="4" width="34.6640625" hidden="1" customWidth="1"/>
    <col min="5" max="6" width="45.33203125" hidden="1" customWidth="1"/>
    <col min="7" max="7" width="7.44140625" hidden="1" customWidth="1"/>
    <col min="8" max="8" width="20.33203125" hidden="1" customWidth="1"/>
    <col min="9" max="9" width="13.77734375" hidden="1" customWidth="1"/>
    <col min="10" max="10" width="84" hidden="1" customWidth="1"/>
    <col min="11" max="11" width="18" hidden="1" customWidth="1"/>
    <col min="12" max="12" width="22.88671875" hidden="1" customWidth="1"/>
    <col min="13" max="13" width="40.44140625" customWidth="1"/>
  </cols>
  <sheetData>
    <row r="1" spans="1:12" x14ac:dyDescent="0.3">
      <c r="A1" s="133" t="s">
        <v>27</v>
      </c>
      <c r="B1" s="133" t="s">
        <v>28</v>
      </c>
      <c r="C1" s="133" t="s">
        <v>29</v>
      </c>
      <c r="D1" s="133" t="s">
        <v>30</v>
      </c>
      <c r="E1" s="133" t="s">
        <v>31</v>
      </c>
      <c r="F1" s="133" t="s">
        <v>32</v>
      </c>
      <c r="G1" s="133" t="s">
        <v>10</v>
      </c>
      <c r="H1" s="133" t="s">
        <v>33</v>
      </c>
      <c r="I1" s="133" t="s">
        <v>34</v>
      </c>
      <c r="J1" s="133" t="s">
        <v>35</v>
      </c>
      <c r="K1" s="133" t="s">
        <v>36</v>
      </c>
      <c r="L1" s="133" t="s">
        <v>37</v>
      </c>
    </row>
    <row r="2" spans="1:12" x14ac:dyDescent="0.3">
      <c r="A2" s="134">
        <v>1</v>
      </c>
      <c r="B2" s="135" t="s">
        <v>38</v>
      </c>
      <c r="C2" s="135" t="s">
        <v>39</v>
      </c>
      <c r="D2" s="135" t="s">
        <v>40</v>
      </c>
      <c r="E2" s="296" t="s">
        <v>41</v>
      </c>
      <c r="F2" s="137" t="s">
        <v>41</v>
      </c>
      <c r="G2" s="297">
        <v>0.5</v>
      </c>
      <c r="H2" s="138">
        <v>0.3</v>
      </c>
      <c r="I2" s="139">
        <v>80</v>
      </c>
      <c r="J2" s="135" t="s">
        <v>42</v>
      </c>
      <c r="K2" s="135"/>
      <c r="L2" s="135" t="s">
        <v>78</v>
      </c>
    </row>
    <row r="3" spans="1:12" x14ac:dyDescent="0.3">
      <c r="A3" s="134">
        <v>1</v>
      </c>
      <c r="B3" s="135" t="s">
        <v>38</v>
      </c>
      <c r="C3" s="135" t="s">
        <v>39</v>
      </c>
      <c r="D3" s="135" t="s">
        <v>40</v>
      </c>
      <c r="E3" s="296"/>
      <c r="F3" s="137" t="s">
        <v>41</v>
      </c>
      <c r="G3" s="297"/>
      <c r="H3" s="138">
        <v>0.2</v>
      </c>
      <c r="I3" s="139">
        <v>150</v>
      </c>
      <c r="J3" s="135" t="s">
        <v>43</v>
      </c>
      <c r="K3" s="135"/>
      <c r="L3" s="135" t="s">
        <v>78</v>
      </c>
    </row>
    <row r="4" spans="1:12" ht="14.55" customHeight="1" x14ac:dyDescent="0.3">
      <c r="A4" s="134">
        <v>1</v>
      </c>
      <c r="B4" s="135" t="s">
        <v>38</v>
      </c>
      <c r="C4" s="135" t="s">
        <v>39</v>
      </c>
      <c r="D4" s="135" t="s">
        <v>40</v>
      </c>
      <c r="E4" s="296" t="s">
        <v>44</v>
      </c>
      <c r="F4" s="137" t="s">
        <v>44</v>
      </c>
      <c r="G4" s="295">
        <v>0.2</v>
      </c>
      <c r="H4" s="138">
        <v>0.08</v>
      </c>
      <c r="I4" s="138" t="s">
        <v>45</v>
      </c>
      <c r="J4" s="135" t="s">
        <v>46</v>
      </c>
      <c r="K4" s="135"/>
      <c r="L4" s="135" t="s">
        <v>78</v>
      </c>
    </row>
    <row r="5" spans="1:12" ht="28.8" x14ac:dyDescent="0.3">
      <c r="A5" s="134">
        <v>1</v>
      </c>
      <c r="B5" s="135" t="s">
        <v>38</v>
      </c>
      <c r="C5" s="135" t="s">
        <v>39</v>
      </c>
      <c r="D5" s="135" t="s">
        <v>40</v>
      </c>
      <c r="E5" s="296"/>
      <c r="F5" s="137" t="s">
        <v>44</v>
      </c>
      <c r="G5" s="295"/>
      <c r="H5" s="138"/>
      <c r="I5" s="138"/>
      <c r="J5" s="135" t="s">
        <v>47</v>
      </c>
      <c r="K5" s="135"/>
      <c r="L5" s="135" t="s">
        <v>78</v>
      </c>
    </row>
    <row r="6" spans="1:12" ht="28.8" x14ac:dyDescent="0.3">
      <c r="A6" s="134">
        <v>1</v>
      </c>
      <c r="B6" s="135" t="s">
        <v>38</v>
      </c>
      <c r="C6" s="135" t="s">
        <v>39</v>
      </c>
      <c r="D6" s="135" t="s">
        <v>40</v>
      </c>
      <c r="E6" s="296"/>
      <c r="F6" s="137" t="s">
        <v>44</v>
      </c>
      <c r="G6" s="295"/>
      <c r="H6" s="138">
        <v>0.08</v>
      </c>
      <c r="I6" s="138" t="s">
        <v>48</v>
      </c>
      <c r="J6" s="135" t="s">
        <v>49</v>
      </c>
      <c r="K6" s="135"/>
      <c r="L6" s="135" t="s">
        <v>78</v>
      </c>
    </row>
    <row r="7" spans="1:12" ht="28.8" x14ac:dyDescent="0.3">
      <c r="A7" s="134">
        <v>1</v>
      </c>
      <c r="B7" s="135" t="s">
        <v>38</v>
      </c>
      <c r="C7" s="135" t="s">
        <v>39</v>
      </c>
      <c r="D7" s="135" t="s">
        <v>40</v>
      </c>
      <c r="E7" s="296"/>
      <c r="F7" s="137" t="s">
        <v>44</v>
      </c>
      <c r="G7" s="295"/>
      <c r="H7" s="138">
        <v>0.04</v>
      </c>
      <c r="I7" s="138"/>
      <c r="J7" s="135" t="s">
        <v>50</v>
      </c>
      <c r="K7" s="135"/>
      <c r="L7" s="135" t="s">
        <v>78</v>
      </c>
    </row>
    <row r="8" spans="1:12" x14ac:dyDescent="0.3">
      <c r="A8" s="134">
        <v>1</v>
      </c>
      <c r="B8" s="135" t="s">
        <v>38</v>
      </c>
      <c r="C8" s="135" t="s">
        <v>39</v>
      </c>
      <c r="D8" s="135" t="s">
        <v>40</v>
      </c>
      <c r="E8" s="294" t="s">
        <v>51</v>
      </c>
      <c r="F8" s="142" t="s">
        <v>51</v>
      </c>
      <c r="G8" s="295">
        <v>0.1</v>
      </c>
      <c r="H8" s="138">
        <v>0.02</v>
      </c>
      <c r="I8" s="138">
        <v>1</v>
      </c>
      <c r="J8" s="135" t="s">
        <v>52</v>
      </c>
      <c r="K8" s="135"/>
      <c r="L8" s="135" t="s">
        <v>78</v>
      </c>
    </row>
    <row r="9" spans="1:12" x14ac:dyDescent="0.3">
      <c r="A9" s="134">
        <v>1</v>
      </c>
      <c r="B9" s="135" t="s">
        <v>38</v>
      </c>
      <c r="C9" s="135" t="s">
        <v>39</v>
      </c>
      <c r="D9" s="135" t="s">
        <v>40</v>
      </c>
      <c r="E9" s="294"/>
      <c r="F9" s="142" t="s">
        <v>51</v>
      </c>
      <c r="G9" s="295"/>
      <c r="H9" s="138">
        <v>7.0000000000000007E-2</v>
      </c>
      <c r="I9" s="138">
        <v>1</v>
      </c>
      <c r="J9" s="135" t="s">
        <v>53</v>
      </c>
      <c r="K9" s="135"/>
      <c r="L9" s="135" t="s">
        <v>78</v>
      </c>
    </row>
    <row r="10" spans="1:12" x14ac:dyDescent="0.3">
      <c r="A10" s="134">
        <v>1</v>
      </c>
      <c r="B10" s="135" t="s">
        <v>38</v>
      </c>
      <c r="C10" s="135" t="s">
        <v>39</v>
      </c>
      <c r="D10" s="135" t="s">
        <v>40</v>
      </c>
      <c r="E10" s="294"/>
      <c r="F10" s="142" t="s">
        <v>51</v>
      </c>
      <c r="G10" s="295"/>
      <c r="H10" s="138">
        <v>0.01</v>
      </c>
      <c r="I10" s="138">
        <v>1</v>
      </c>
      <c r="J10" s="135" t="s">
        <v>54</v>
      </c>
      <c r="K10" s="135"/>
      <c r="L10" s="135" t="s">
        <v>78</v>
      </c>
    </row>
    <row r="11" spans="1:12" x14ac:dyDescent="0.3">
      <c r="A11" s="134">
        <v>1</v>
      </c>
      <c r="B11" s="135" t="s">
        <v>38</v>
      </c>
      <c r="C11" s="135" t="s">
        <v>39</v>
      </c>
      <c r="D11" s="135" t="s">
        <v>40</v>
      </c>
      <c r="E11" s="294" t="s">
        <v>55</v>
      </c>
      <c r="F11" s="142" t="s">
        <v>55</v>
      </c>
      <c r="G11" s="295">
        <v>0.1</v>
      </c>
      <c r="H11" s="138">
        <v>7.4999999999999997E-2</v>
      </c>
      <c r="I11" s="138">
        <v>0.85</v>
      </c>
      <c r="J11" s="135" t="s">
        <v>56</v>
      </c>
      <c r="K11" s="135"/>
      <c r="L11" s="135" t="s">
        <v>78</v>
      </c>
    </row>
    <row r="12" spans="1:12" x14ac:dyDescent="0.3">
      <c r="A12" s="134">
        <v>1</v>
      </c>
      <c r="B12" s="135" t="s">
        <v>38</v>
      </c>
      <c r="C12" s="135" t="s">
        <v>39</v>
      </c>
      <c r="D12" s="135" t="s">
        <v>40</v>
      </c>
      <c r="E12" s="294"/>
      <c r="F12" s="142" t="s">
        <v>55</v>
      </c>
      <c r="G12" s="295"/>
      <c r="H12" s="138">
        <v>2.5000000000000001E-2</v>
      </c>
      <c r="I12" s="138">
        <v>0.04</v>
      </c>
      <c r="J12" s="135" t="s">
        <v>57</v>
      </c>
      <c r="K12" s="135"/>
      <c r="L12" s="135" t="s">
        <v>78</v>
      </c>
    </row>
    <row r="13" spans="1:12" ht="14.55" customHeight="1" x14ac:dyDescent="0.3">
      <c r="A13" s="134">
        <v>1</v>
      </c>
      <c r="B13" s="135" t="s">
        <v>38</v>
      </c>
      <c r="C13" s="135" t="s">
        <v>39</v>
      </c>
      <c r="D13" s="135" t="s">
        <v>40</v>
      </c>
      <c r="E13" s="294" t="s">
        <v>58</v>
      </c>
      <c r="F13" s="142" t="s">
        <v>58</v>
      </c>
      <c r="G13" s="295">
        <v>0.05</v>
      </c>
      <c r="H13" s="138">
        <v>0.02</v>
      </c>
      <c r="I13" s="138">
        <v>1</v>
      </c>
      <c r="J13" s="135" t="s">
        <v>59</v>
      </c>
      <c r="K13" s="135"/>
      <c r="L13" s="135" t="s">
        <v>78</v>
      </c>
    </row>
    <row r="14" spans="1:12" ht="28.8" x14ac:dyDescent="0.3">
      <c r="A14" s="134">
        <v>1</v>
      </c>
      <c r="B14" s="135" t="s">
        <v>38</v>
      </c>
      <c r="C14" s="135" t="s">
        <v>39</v>
      </c>
      <c r="D14" s="135" t="s">
        <v>40</v>
      </c>
      <c r="E14" s="294"/>
      <c r="F14" s="142" t="s">
        <v>58</v>
      </c>
      <c r="G14" s="295"/>
      <c r="H14" s="138">
        <v>0.02</v>
      </c>
      <c r="I14" s="138">
        <v>1</v>
      </c>
      <c r="J14" s="135" t="s">
        <v>60</v>
      </c>
      <c r="K14" s="135"/>
      <c r="L14" s="135" t="s">
        <v>78</v>
      </c>
    </row>
    <row r="15" spans="1:12" ht="28.8" x14ac:dyDescent="0.3">
      <c r="A15" s="134">
        <v>1</v>
      </c>
      <c r="B15" s="135" t="s">
        <v>38</v>
      </c>
      <c r="C15" s="135" t="s">
        <v>39</v>
      </c>
      <c r="D15" s="135" t="s">
        <v>40</v>
      </c>
      <c r="E15" s="294"/>
      <c r="F15" s="142" t="s">
        <v>58</v>
      </c>
      <c r="G15" s="295"/>
      <c r="H15" s="138">
        <v>0.01</v>
      </c>
      <c r="I15" s="138" t="s">
        <v>61</v>
      </c>
      <c r="J15" s="135" t="s">
        <v>62</v>
      </c>
      <c r="K15" s="135"/>
      <c r="L15" s="135" t="s">
        <v>78</v>
      </c>
    </row>
    <row r="16" spans="1:12" ht="14.55" customHeight="1" x14ac:dyDescent="0.3">
      <c r="A16" s="134">
        <v>1</v>
      </c>
      <c r="B16" s="135" t="s">
        <v>38</v>
      </c>
      <c r="C16" s="135" t="s">
        <v>39</v>
      </c>
      <c r="D16" s="135" t="s">
        <v>40</v>
      </c>
      <c r="E16" s="294" t="s">
        <v>63</v>
      </c>
      <c r="F16" s="142" t="s">
        <v>63</v>
      </c>
      <c r="G16" s="295">
        <v>0.05</v>
      </c>
      <c r="H16" s="138">
        <v>0.02</v>
      </c>
      <c r="I16" s="138">
        <v>1</v>
      </c>
      <c r="J16" s="135" t="s">
        <v>64</v>
      </c>
      <c r="K16" s="135"/>
      <c r="L16" s="135" t="s">
        <v>78</v>
      </c>
    </row>
    <row r="17" spans="1:12" ht="28.8" x14ac:dyDescent="0.3">
      <c r="A17" s="134">
        <v>1</v>
      </c>
      <c r="B17" s="135" t="s">
        <v>38</v>
      </c>
      <c r="C17" s="135" t="s">
        <v>39</v>
      </c>
      <c r="D17" s="135" t="s">
        <v>40</v>
      </c>
      <c r="E17" s="294"/>
      <c r="F17" s="142" t="s">
        <v>63</v>
      </c>
      <c r="G17" s="295"/>
      <c r="H17" s="138">
        <v>0.01</v>
      </c>
      <c r="I17" s="138">
        <v>0</v>
      </c>
      <c r="J17" s="135" t="s">
        <v>65</v>
      </c>
      <c r="K17" s="135"/>
      <c r="L17" s="135" t="s">
        <v>78</v>
      </c>
    </row>
    <row r="18" spans="1:12" ht="28.8" x14ac:dyDescent="0.3">
      <c r="A18" s="134">
        <v>1</v>
      </c>
      <c r="B18" s="135" t="s">
        <v>38</v>
      </c>
      <c r="C18" s="135" t="s">
        <v>39</v>
      </c>
      <c r="D18" s="135" t="s">
        <v>40</v>
      </c>
      <c r="E18" s="294"/>
      <c r="F18" s="142" t="s">
        <v>63</v>
      </c>
      <c r="G18" s="295"/>
      <c r="H18" s="138">
        <v>0.01</v>
      </c>
      <c r="I18" s="138" t="s">
        <v>61</v>
      </c>
      <c r="J18" s="135" t="s">
        <v>66</v>
      </c>
      <c r="K18" s="135"/>
      <c r="L18" s="135" t="s">
        <v>78</v>
      </c>
    </row>
    <row r="19" spans="1:12" ht="28.8" x14ac:dyDescent="0.3">
      <c r="A19" s="134">
        <v>1</v>
      </c>
      <c r="B19" s="135" t="s">
        <v>38</v>
      </c>
      <c r="C19" s="135" t="s">
        <v>39</v>
      </c>
      <c r="D19" s="135" t="s">
        <v>40</v>
      </c>
      <c r="E19" s="294"/>
      <c r="F19" s="142" t="s">
        <v>63</v>
      </c>
      <c r="G19" s="295"/>
      <c r="H19" s="138">
        <v>0.01</v>
      </c>
      <c r="I19" s="138" t="s">
        <v>67</v>
      </c>
      <c r="J19" s="135" t="s">
        <v>68</v>
      </c>
      <c r="K19" s="135"/>
      <c r="L19" s="135" t="s">
        <v>78</v>
      </c>
    </row>
    <row r="20" spans="1:12" x14ac:dyDescent="0.3">
      <c r="A20" s="143">
        <v>2</v>
      </c>
      <c r="B20" s="144" t="s">
        <v>69</v>
      </c>
      <c r="C20" s="144" t="s">
        <v>70</v>
      </c>
      <c r="D20" s="144" t="s">
        <v>71</v>
      </c>
      <c r="E20" s="300" t="s">
        <v>41</v>
      </c>
      <c r="F20" s="146" t="s">
        <v>41</v>
      </c>
      <c r="G20" s="301">
        <v>0.5</v>
      </c>
      <c r="H20" s="147">
        <v>0.3</v>
      </c>
      <c r="I20" s="148">
        <v>80</v>
      </c>
      <c r="J20" s="144" t="s">
        <v>42</v>
      </c>
      <c r="K20" s="144"/>
      <c r="L20" s="144" t="s">
        <v>88</v>
      </c>
    </row>
    <row r="21" spans="1:12" x14ac:dyDescent="0.3">
      <c r="A21" s="143">
        <v>2</v>
      </c>
      <c r="B21" s="144" t="s">
        <v>69</v>
      </c>
      <c r="C21" s="144" t="s">
        <v>70</v>
      </c>
      <c r="D21" s="144" t="s">
        <v>71</v>
      </c>
      <c r="E21" s="300"/>
      <c r="F21" s="146" t="s">
        <v>41</v>
      </c>
      <c r="G21" s="301"/>
      <c r="H21" s="147">
        <v>0.2</v>
      </c>
      <c r="I21" s="148">
        <v>150</v>
      </c>
      <c r="J21" s="144" t="s">
        <v>43</v>
      </c>
      <c r="K21" s="144"/>
      <c r="L21" s="144" t="s">
        <v>88</v>
      </c>
    </row>
    <row r="22" spans="1:12" ht="14.55" customHeight="1" x14ac:dyDescent="0.3">
      <c r="A22" s="143">
        <v>2</v>
      </c>
      <c r="B22" s="144" t="s">
        <v>69</v>
      </c>
      <c r="C22" s="144" t="s">
        <v>70</v>
      </c>
      <c r="D22" s="144" t="s">
        <v>71</v>
      </c>
      <c r="E22" s="300" t="s">
        <v>44</v>
      </c>
      <c r="F22" s="146" t="s">
        <v>44</v>
      </c>
      <c r="G22" s="302">
        <v>0.2</v>
      </c>
      <c r="H22" s="147">
        <v>0.09</v>
      </c>
      <c r="I22" s="147">
        <v>1</v>
      </c>
      <c r="J22" s="144" t="s">
        <v>72</v>
      </c>
      <c r="K22" s="144"/>
      <c r="L22" s="144" t="s">
        <v>88</v>
      </c>
    </row>
    <row r="23" spans="1:12" ht="28.8" x14ac:dyDescent="0.3">
      <c r="A23" s="143">
        <v>2</v>
      </c>
      <c r="B23" s="144" t="s">
        <v>69</v>
      </c>
      <c r="C23" s="144" t="s">
        <v>70</v>
      </c>
      <c r="D23" s="144" t="s">
        <v>71</v>
      </c>
      <c r="E23" s="300"/>
      <c r="F23" s="146" t="s">
        <v>44</v>
      </c>
      <c r="G23" s="302"/>
      <c r="H23" s="147"/>
      <c r="I23" s="147"/>
      <c r="J23" s="144" t="s">
        <v>47</v>
      </c>
      <c r="K23" s="144"/>
      <c r="L23" s="144" t="s">
        <v>88</v>
      </c>
    </row>
    <row r="24" spans="1:12" ht="28.8" x14ac:dyDescent="0.3">
      <c r="A24" s="143">
        <v>2</v>
      </c>
      <c r="B24" s="144" t="s">
        <v>69</v>
      </c>
      <c r="C24" s="144" t="s">
        <v>70</v>
      </c>
      <c r="D24" s="144" t="s">
        <v>71</v>
      </c>
      <c r="E24" s="300"/>
      <c r="F24" s="146" t="s">
        <v>44</v>
      </c>
      <c r="G24" s="302"/>
      <c r="H24" s="147">
        <v>7.0000000000000007E-2</v>
      </c>
      <c r="I24" s="147" t="s">
        <v>48</v>
      </c>
      <c r="J24" s="144" t="s">
        <v>49</v>
      </c>
      <c r="K24" s="144"/>
      <c r="L24" s="144" t="s">
        <v>88</v>
      </c>
    </row>
    <row r="25" spans="1:12" ht="28.8" x14ac:dyDescent="0.3">
      <c r="A25" s="143">
        <v>2</v>
      </c>
      <c r="B25" s="144" t="s">
        <v>69</v>
      </c>
      <c r="C25" s="144" t="s">
        <v>70</v>
      </c>
      <c r="D25" s="144" t="s">
        <v>71</v>
      </c>
      <c r="E25" s="300"/>
      <c r="F25" s="146" t="s">
        <v>44</v>
      </c>
      <c r="G25" s="302"/>
      <c r="H25" s="147">
        <v>0.04</v>
      </c>
      <c r="I25" s="147"/>
      <c r="J25" s="144" t="s">
        <v>50</v>
      </c>
      <c r="K25" s="144"/>
      <c r="L25" s="144" t="s">
        <v>88</v>
      </c>
    </row>
    <row r="26" spans="1:12" x14ac:dyDescent="0.3">
      <c r="A26" s="143">
        <v>2</v>
      </c>
      <c r="B26" s="144" t="s">
        <v>69</v>
      </c>
      <c r="C26" s="144" t="s">
        <v>70</v>
      </c>
      <c r="D26" s="144" t="s">
        <v>71</v>
      </c>
      <c r="E26" s="298" t="s">
        <v>51</v>
      </c>
      <c r="F26" s="151" t="s">
        <v>51</v>
      </c>
      <c r="G26" s="299">
        <v>0.1</v>
      </c>
      <c r="H26" s="147">
        <v>0.02</v>
      </c>
      <c r="I26" s="147">
        <v>1</v>
      </c>
      <c r="J26" s="144" t="s">
        <v>52</v>
      </c>
      <c r="K26" s="144"/>
      <c r="L26" s="144" t="s">
        <v>88</v>
      </c>
    </row>
    <row r="27" spans="1:12" x14ac:dyDescent="0.3">
      <c r="A27" s="143">
        <v>2</v>
      </c>
      <c r="B27" s="144" t="s">
        <v>69</v>
      </c>
      <c r="C27" s="144" t="s">
        <v>70</v>
      </c>
      <c r="D27" s="144" t="s">
        <v>71</v>
      </c>
      <c r="E27" s="298"/>
      <c r="F27" s="151" t="s">
        <v>51</v>
      </c>
      <c r="G27" s="299"/>
      <c r="H27" s="147">
        <v>7.0000000000000007E-2</v>
      </c>
      <c r="I27" s="147">
        <v>1</v>
      </c>
      <c r="J27" s="144" t="s">
        <v>53</v>
      </c>
      <c r="K27" s="144"/>
      <c r="L27" s="144" t="s">
        <v>88</v>
      </c>
    </row>
    <row r="28" spans="1:12" x14ac:dyDescent="0.3">
      <c r="A28" s="143">
        <v>2</v>
      </c>
      <c r="B28" s="144" t="s">
        <v>69</v>
      </c>
      <c r="C28" s="144" t="s">
        <v>70</v>
      </c>
      <c r="D28" s="144" t="s">
        <v>71</v>
      </c>
      <c r="E28" s="298"/>
      <c r="F28" s="151" t="s">
        <v>51</v>
      </c>
      <c r="G28" s="299"/>
      <c r="H28" s="147">
        <v>0.01</v>
      </c>
      <c r="I28" s="147">
        <v>1</v>
      </c>
      <c r="J28" s="144" t="s">
        <v>54</v>
      </c>
      <c r="K28" s="144"/>
      <c r="L28" s="144" t="s">
        <v>88</v>
      </c>
    </row>
    <row r="29" spans="1:12" x14ac:dyDescent="0.3">
      <c r="A29" s="143">
        <v>2</v>
      </c>
      <c r="B29" s="144" t="s">
        <v>69</v>
      </c>
      <c r="C29" s="144" t="s">
        <v>70</v>
      </c>
      <c r="D29" s="144" t="s">
        <v>71</v>
      </c>
      <c r="E29" s="298" t="s">
        <v>55</v>
      </c>
      <c r="F29" s="151" t="s">
        <v>55</v>
      </c>
      <c r="G29" s="299">
        <v>0.1</v>
      </c>
      <c r="H29" s="147">
        <v>7.4999999999999997E-2</v>
      </c>
      <c r="I29" s="147">
        <v>0.85</v>
      </c>
      <c r="J29" s="144" t="s">
        <v>56</v>
      </c>
      <c r="K29" s="144"/>
      <c r="L29" s="144" t="s">
        <v>88</v>
      </c>
    </row>
    <row r="30" spans="1:12" x14ac:dyDescent="0.3">
      <c r="A30" s="143">
        <v>2</v>
      </c>
      <c r="B30" s="144" t="s">
        <v>69</v>
      </c>
      <c r="C30" s="144" t="s">
        <v>70</v>
      </c>
      <c r="D30" s="144" t="s">
        <v>71</v>
      </c>
      <c r="E30" s="298"/>
      <c r="F30" s="151" t="s">
        <v>55</v>
      </c>
      <c r="G30" s="299"/>
      <c r="H30" s="147">
        <v>2.5000000000000001E-2</v>
      </c>
      <c r="I30" s="147">
        <v>0.04</v>
      </c>
      <c r="J30" s="144" t="s">
        <v>57</v>
      </c>
      <c r="K30" s="144"/>
      <c r="L30" s="144" t="s">
        <v>88</v>
      </c>
    </row>
    <row r="31" spans="1:12" ht="14.55" customHeight="1" x14ac:dyDescent="0.3">
      <c r="A31" s="143">
        <v>2</v>
      </c>
      <c r="B31" s="144" t="s">
        <v>69</v>
      </c>
      <c r="C31" s="144" t="s">
        <v>70</v>
      </c>
      <c r="D31" s="144" t="s">
        <v>71</v>
      </c>
      <c r="E31" s="298" t="s">
        <v>58</v>
      </c>
      <c r="F31" s="151" t="s">
        <v>58</v>
      </c>
      <c r="G31" s="299">
        <v>0.05</v>
      </c>
      <c r="H31" s="147">
        <v>0.03</v>
      </c>
      <c r="I31" s="147">
        <v>1</v>
      </c>
      <c r="J31" s="144" t="s">
        <v>73</v>
      </c>
      <c r="K31" s="144"/>
      <c r="L31" s="144" t="s">
        <v>88</v>
      </c>
    </row>
    <row r="32" spans="1:12" ht="28.8" x14ac:dyDescent="0.3">
      <c r="A32" s="143">
        <v>2</v>
      </c>
      <c r="B32" s="144" t="s">
        <v>69</v>
      </c>
      <c r="C32" s="144" t="s">
        <v>70</v>
      </c>
      <c r="D32" s="144" t="s">
        <v>71</v>
      </c>
      <c r="E32" s="298"/>
      <c r="F32" s="151" t="s">
        <v>58</v>
      </c>
      <c r="G32" s="299"/>
      <c r="H32" s="147">
        <v>0.02</v>
      </c>
      <c r="I32" s="147">
        <v>1</v>
      </c>
      <c r="J32" s="144" t="s">
        <v>74</v>
      </c>
      <c r="K32" s="144"/>
      <c r="L32" s="144" t="s">
        <v>88</v>
      </c>
    </row>
    <row r="33" spans="1:12" ht="14.55" customHeight="1" x14ac:dyDescent="0.3">
      <c r="A33" s="143">
        <v>2</v>
      </c>
      <c r="B33" s="144" t="s">
        <v>69</v>
      </c>
      <c r="C33" s="144" t="s">
        <v>70</v>
      </c>
      <c r="D33" s="144" t="s">
        <v>71</v>
      </c>
      <c r="E33" s="298" t="s">
        <v>63</v>
      </c>
      <c r="F33" s="151" t="s">
        <v>63</v>
      </c>
      <c r="G33" s="299">
        <v>0.05</v>
      </c>
      <c r="H33" s="147">
        <v>0.02</v>
      </c>
      <c r="I33" s="147">
        <v>1</v>
      </c>
      <c r="J33" s="144" t="s">
        <v>64</v>
      </c>
      <c r="K33" s="144"/>
      <c r="L33" s="144" t="s">
        <v>88</v>
      </c>
    </row>
    <row r="34" spans="1:12" ht="28.8" x14ac:dyDescent="0.3">
      <c r="A34" s="143">
        <v>2</v>
      </c>
      <c r="B34" s="144" t="s">
        <v>69</v>
      </c>
      <c r="C34" s="144" t="s">
        <v>70</v>
      </c>
      <c r="D34" s="144" t="s">
        <v>71</v>
      </c>
      <c r="E34" s="298"/>
      <c r="F34" s="151" t="s">
        <v>63</v>
      </c>
      <c r="G34" s="299"/>
      <c r="H34" s="147">
        <v>0.01</v>
      </c>
      <c r="I34" s="147">
        <v>0</v>
      </c>
      <c r="J34" s="144" t="s">
        <v>65</v>
      </c>
      <c r="K34" s="144"/>
      <c r="L34" s="144" t="s">
        <v>88</v>
      </c>
    </row>
    <row r="35" spans="1:12" ht="28.8" x14ac:dyDescent="0.3">
      <c r="A35" s="143">
        <v>2</v>
      </c>
      <c r="B35" s="144" t="s">
        <v>69</v>
      </c>
      <c r="C35" s="144" t="s">
        <v>70</v>
      </c>
      <c r="D35" s="144" t="s">
        <v>71</v>
      </c>
      <c r="E35" s="298"/>
      <c r="F35" s="151" t="s">
        <v>63</v>
      </c>
      <c r="G35" s="299"/>
      <c r="H35" s="147">
        <v>0.01</v>
      </c>
      <c r="I35" s="147" t="s">
        <v>61</v>
      </c>
      <c r="J35" s="144" t="s">
        <v>66</v>
      </c>
      <c r="K35" s="144"/>
      <c r="L35" s="144" t="s">
        <v>88</v>
      </c>
    </row>
    <row r="36" spans="1:12" ht="28.8" x14ac:dyDescent="0.3">
      <c r="A36" s="143">
        <v>2</v>
      </c>
      <c r="B36" s="144" t="s">
        <v>69</v>
      </c>
      <c r="C36" s="144" t="s">
        <v>70</v>
      </c>
      <c r="D36" s="144" t="s">
        <v>71</v>
      </c>
      <c r="E36" s="298"/>
      <c r="F36" s="151" t="s">
        <v>63</v>
      </c>
      <c r="G36" s="299"/>
      <c r="H36" s="147">
        <v>0.01</v>
      </c>
      <c r="I36" s="147" t="s">
        <v>67</v>
      </c>
      <c r="J36" s="144" t="s">
        <v>68</v>
      </c>
      <c r="K36" s="144"/>
      <c r="L36" s="144" t="s">
        <v>88</v>
      </c>
    </row>
    <row r="37" spans="1:12" x14ac:dyDescent="0.3">
      <c r="A37" s="134">
        <v>3</v>
      </c>
      <c r="B37" s="135" t="s">
        <v>75</v>
      </c>
      <c r="C37" s="135" t="s">
        <v>76</v>
      </c>
      <c r="D37" s="135" t="s">
        <v>71</v>
      </c>
      <c r="E37" s="296" t="s">
        <v>41</v>
      </c>
      <c r="F37" s="137" t="s">
        <v>41</v>
      </c>
      <c r="G37" s="295">
        <v>0.5</v>
      </c>
      <c r="H37" s="138">
        <v>0.3</v>
      </c>
      <c r="I37" s="139">
        <v>80</v>
      </c>
      <c r="J37" s="135" t="s">
        <v>42</v>
      </c>
      <c r="K37" s="135"/>
      <c r="L37" s="135" t="s">
        <v>88</v>
      </c>
    </row>
    <row r="38" spans="1:12" x14ac:dyDescent="0.3">
      <c r="A38" s="134">
        <v>3</v>
      </c>
      <c r="B38" s="135" t="s">
        <v>75</v>
      </c>
      <c r="C38" s="135" t="s">
        <v>76</v>
      </c>
      <c r="D38" s="135" t="s">
        <v>71</v>
      </c>
      <c r="E38" s="296"/>
      <c r="F38" s="137" t="s">
        <v>41</v>
      </c>
      <c r="G38" s="295"/>
      <c r="H38" s="138">
        <v>0.2</v>
      </c>
      <c r="I38" s="139">
        <v>150</v>
      </c>
      <c r="J38" s="135" t="s">
        <v>43</v>
      </c>
      <c r="K38" s="135"/>
      <c r="L38" s="135" t="s">
        <v>88</v>
      </c>
    </row>
    <row r="39" spans="1:12" ht="14.55" customHeight="1" x14ac:dyDescent="0.3">
      <c r="A39" s="134">
        <v>3</v>
      </c>
      <c r="B39" s="135" t="s">
        <v>75</v>
      </c>
      <c r="C39" s="135" t="s">
        <v>76</v>
      </c>
      <c r="D39" s="135" t="s">
        <v>71</v>
      </c>
      <c r="E39" s="296" t="s">
        <v>44</v>
      </c>
      <c r="F39" s="137" t="s">
        <v>44</v>
      </c>
      <c r="G39" s="295">
        <v>0.2</v>
      </c>
      <c r="H39" s="138">
        <v>0.09</v>
      </c>
      <c r="I39" s="138">
        <v>1</v>
      </c>
      <c r="J39" s="135" t="s">
        <v>72</v>
      </c>
      <c r="K39" s="135"/>
      <c r="L39" s="135" t="s">
        <v>88</v>
      </c>
    </row>
    <row r="40" spans="1:12" ht="28.8" x14ac:dyDescent="0.3">
      <c r="A40" s="134">
        <v>3</v>
      </c>
      <c r="B40" s="135" t="s">
        <v>75</v>
      </c>
      <c r="C40" s="135" t="s">
        <v>76</v>
      </c>
      <c r="D40" s="135" t="s">
        <v>71</v>
      </c>
      <c r="E40" s="296"/>
      <c r="F40" s="137" t="s">
        <v>44</v>
      </c>
      <c r="G40" s="295"/>
      <c r="H40" s="138"/>
      <c r="I40" s="138"/>
      <c r="J40" s="135" t="s">
        <v>47</v>
      </c>
      <c r="K40" s="135"/>
      <c r="L40" s="135" t="s">
        <v>88</v>
      </c>
    </row>
    <row r="41" spans="1:12" ht="28.8" x14ac:dyDescent="0.3">
      <c r="A41" s="134">
        <v>3</v>
      </c>
      <c r="B41" s="135" t="s">
        <v>75</v>
      </c>
      <c r="C41" s="135" t="s">
        <v>76</v>
      </c>
      <c r="D41" s="135" t="s">
        <v>71</v>
      </c>
      <c r="E41" s="296"/>
      <c r="F41" s="137" t="s">
        <v>44</v>
      </c>
      <c r="G41" s="295"/>
      <c r="H41" s="138">
        <v>7.0000000000000007E-2</v>
      </c>
      <c r="I41" s="138" t="s">
        <v>48</v>
      </c>
      <c r="J41" s="135" t="s">
        <v>49</v>
      </c>
      <c r="K41" s="135"/>
      <c r="L41" s="135" t="s">
        <v>88</v>
      </c>
    </row>
    <row r="42" spans="1:12" ht="28.8" x14ac:dyDescent="0.3">
      <c r="A42" s="134">
        <v>3</v>
      </c>
      <c r="B42" s="135" t="s">
        <v>75</v>
      </c>
      <c r="C42" s="135" t="s">
        <v>76</v>
      </c>
      <c r="D42" s="135" t="s">
        <v>71</v>
      </c>
      <c r="E42" s="296"/>
      <c r="F42" s="137" t="s">
        <v>44</v>
      </c>
      <c r="G42" s="295"/>
      <c r="H42" s="138">
        <v>0.04</v>
      </c>
      <c r="I42" s="138"/>
      <c r="J42" s="135" t="s">
        <v>50</v>
      </c>
      <c r="K42" s="135"/>
      <c r="L42" s="135" t="s">
        <v>88</v>
      </c>
    </row>
    <row r="43" spans="1:12" x14ac:dyDescent="0.3">
      <c r="A43" s="134">
        <v>3</v>
      </c>
      <c r="B43" s="135" t="s">
        <v>75</v>
      </c>
      <c r="C43" s="135" t="s">
        <v>76</v>
      </c>
      <c r="D43" s="135" t="s">
        <v>71</v>
      </c>
      <c r="E43" s="294" t="s">
        <v>51</v>
      </c>
      <c r="F43" s="142" t="s">
        <v>51</v>
      </c>
      <c r="G43" s="295">
        <v>0.1</v>
      </c>
      <c r="H43" s="138">
        <v>0.02</v>
      </c>
      <c r="I43" s="138">
        <v>1</v>
      </c>
      <c r="J43" s="135" t="s">
        <v>52</v>
      </c>
      <c r="K43" s="135"/>
      <c r="L43" s="135" t="s">
        <v>88</v>
      </c>
    </row>
    <row r="44" spans="1:12" x14ac:dyDescent="0.3">
      <c r="A44" s="134">
        <v>3</v>
      </c>
      <c r="B44" s="135" t="s">
        <v>75</v>
      </c>
      <c r="C44" s="135" t="s">
        <v>76</v>
      </c>
      <c r="D44" s="135" t="s">
        <v>71</v>
      </c>
      <c r="E44" s="294"/>
      <c r="F44" s="142" t="s">
        <v>51</v>
      </c>
      <c r="G44" s="295"/>
      <c r="H44" s="138">
        <v>7.0000000000000007E-2</v>
      </c>
      <c r="I44" s="138">
        <v>1</v>
      </c>
      <c r="J44" s="135" t="s">
        <v>53</v>
      </c>
      <c r="K44" s="135"/>
      <c r="L44" s="135" t="s">
        <v>88</v>
      </c>
    </row>
    <row r="45" spans="1:12" x14ac:dyDescent="0.3">
      <c r="A45" s="134">
        <v>3</v>
      </c>
      <c r="B45" s="135" t="s">
        <v>75</v>
      </c>
      <c r="C45" s="135" t="s">
        <v>76</v>
      </c>
      <c r="D45" s="135" t="s">
        <v>71</v>
      </c>
      <c r="E45" s="294"/>
      <c r="F45" s="142" t="s">
        <v>51</v>
      </c>
      <c r="G45" s="295"/>
      <c r="H45" s="138">
        <v>0.01</v>
      </c>
      <c r="I45" s="138">
        <v>1</v>
      </c>
      <c r="J45" s="135" t="s">
        <v>54</v>
      </c>
      <c r="K45" s="135"/>
      <c r="L45" s="135" t="s">
        <v>88</v>
      </c>
    </row>
    <row r="46" spans="1:12" x14ac:dyDescent="0.3">
      <c r="A46" s="134">
        <v>3</v>
      </c>
      <c r="B46" s="135" t="s">
        <v>75</v>
      </c>
      <c r="C46" s="135" t="s">
        <v>76</v>
      </c>
      <c r="D46" s="135" t="s">
        <v>71</v>
      </c>
      <c r="E46" s="294" t="s">
        <v>55</v>
      </c>
      <c r="F46" s="142" t="s">
        <v>55</v>
      </c>
      <c r="G46" s="295">
        <v>0.1</v>
      </c>
      <c r="H46" s="138">
        <v>7.4999999999999997E-2</v>
      </c>
      <c r="I46" s="138">
        <v>0.85</v>
      </c>
      <c r="J46" s="135" t="s">
        <v>56</v>
      </c>
      <c r="K46" s="135"/>
      <c r="L46" s="135" t="s">
        <v>88</v>
      </c>
    </row>
    <row r="47" spans="1:12" x14ac:dyDescent="0.3">
      <c r="A47" s="134">
        <v>3</v>
      </c>
      <c r="B47" s="135" t="s">
        <v>75</v>
      </c>
      <c r="C47" s="135" t="s">
        <v>76</v>
      </c>
      <c r="D47" s="135" t="s">
        <v>71</v>
      </c>
      <c r="E47" s="294"/>
      <c r="F47" s="142" t="s">
        <v>55</v>
      </c>
      <c r="G47" s="295"/>
      <c r="H47" s="138">
        <v>2.5000000000000001E-2</v>
      </c>
      <c r="I47" s="138">
        <v>0.04</v>
      </c>
      <c r="J47" s="135" t="s">
        <v>57</v>
      </c>
      <c r="K47" s="135"/>
      <c r="L47" s="135" t="s">
        <v>88</v>
      </c>
    </row>
    <row r="48" spans="1:12" ht="14.55" customHeight="1" x14ac:dyDescent="0.3">
      <c r="A48" s="134">
        <v>3</v>
      </c>
      <c r="B48" s="135" t="s">
        <v>75</v>
      </c>
      <c r="C48" s="135" t="s">
        <v>76</v>
      </c>
      <c r="D48" s="135" t="s">
        <v>71</v>
      </c>
      <c r="E48" s="294" t="s">
        <v>58</v>
      </c>
      <c r="F48" s="142" t="s">
        <v>58</v>
      </c>
      <c r="G48" s="295">
        <v>0.05</v>
      </c>
      <c r="H48" s="138">
        <v>0.02</v>
      </c>
      <c r="I48" s="138">
        <v>1</v>
      </c>
      <c r="J48" s="135" t="s">
        <v>59</v>
      </c>
      <c r="K48" s="135"/>
      <c r="L48" s="135" t="s">
        <v>88</v>
      </c>
    </row>
    <row r="49" spans="1:12" ht="28.8" x14ac:dyDescent="0.3">
      <c r="A49" s="134">
        <v>3</v>
      </c>
      <c r="B49" s="135" t="s">
        <v>75</v>
      </c>
      <c r="C49" s="135" t="s">
        <v>76</v>
      </c>
      <c r="D49" s="135" t="s">
        <v>71</v>
      </c>
      <c r="E49" s="294"/>
      <c r="F49" s="142" t="s">
        <v>58</v>
      </c>
      <c r="G49" s="295"/>
      <c r="H49" s="138">
        <v>0.02</v>
      </c>
      <c r="I49" s="138">
        <v>1</v>
      </c>
      <c r="J49" s="135" t="s">
        <v>60</v>
      </c>
      <c r="K49" s="135"/>
      <c r="L49" s="135" t="s">
        <v>88</v>
      </c>
    </row>
    <row r="50" spans="1:12" ht="28.8" x14ac:dyDescent="0.3">
      <c r="A50" s="134">
        <v>3</v>
      </c>
      <c r="B50" s="135" t="s">
        <v>75</v>
      </c>
      <c r="C50" s="135" t="s">
        <v>76</v>
      </c>
      <c r="D50" s="135" t="s">
        <v>71</v>
      </c>
      <c r="E50" s="294"/>
      <c r="F50" s="142" t="s">
        <v>58</v>
      </c>
      <c r="G50" s="295"/>
      <c r="H50" s="138">
        <v>0.01</v>
      </c>
      <c r="I50" s="138" t="s">
        <v>61</v>
      </c>
      <c r="J50" s="135" t="s">
        <v>62</v>
      </c>
      <c r="K50" s="135"/>
      <c r="L50" s="135" t="s">
        <v>88</v>
      </c>
    </row>
    <row r="51" spans="1:12" ht="14.55" customHeight="1" x14ac:dyDescent="0.3">
      <c r="A51" s="134">
        <v>3</v>
      </c>
      <c r="B51" s="135" t="s">
        <v>75</v>
      </c>
      <c r="C51" s="135" t="s">
        <v>76</v>
      </c>
      <c r="D51" s="135" t="s">
        <v>71</v>
      </c>
      <c r="E51" s="294" t="s">
        <v>63</v>
      </c>
      <c r="F51" s="142" t="s">
        <v>63</v>
      </c>
      <c r="G51" s="295">
        <v>0.05</v>
      </c>
      <c r="H51" s="138">
        <v>0.02</v>
      </c>
      <c r="I51" s="138">
        <v>1</v>
      </c>
      <c r="J51" s="135" t="s">
        <v>64</v>
      </c>
      <c r="K51" s="135"/>
      <c r="L51" s="135" t="s">
        <v>88</v>
      </c>
    </row>
    <row r="52" spans="1:12" ht="28.8" x14ac:dyDescent="0.3">
      <c r="A52" s="134">
        <v>3</v>
      </c>
      <c r="B52" s="135" t="s">
        <v>75</v>
      </c>
      <c r="C52" s="135" t="s">
        <v>76</v>
      </c>
      <c r="D52" s="135" t="s">
        <v>71</v>
      </c>
      <c r="E52" s="294"/>
      <c r="F52" s="142" t="s">
        <v>63</v>
      </c>
      <c r="G52" s="295"/>
      <c r="H52" s="138">
        <v>0.01</v>
      </c>
      <c r="I52" s="138">
        <v>0</v>
      </c>
      <c r="J52" s="135" t="s">
        <v>65</v>
      </c>
      <c r="K52" s="135"/>
      <c r="L52" s="135" t="s">
        <v>88</v>
      </c>
    </row>
    <row r="53" spans="1:12" ht="28.8" x14ac:dyDescent="0.3">
      <c r="A53" s="134">
        <v>3</v>
      </c>
      <c r="B53" s="135" t="s">
        <v>75</v>
      </c>
      <c r="C53" s="135" t="s">
        <v>76</v>
      </c>
      <c r="D53" s="135" t="s">
        <v>71</v>
      </c>
      <c r="E53" s="294"/>
      <c r="F53" s="142" t="s">
        <v>63</v>
      </c>
      <c r="G53" s="295"/>
      <c r="H53" s="138">
        <v>0.01</v>
      </c>
      <c r="I53" s="138" t="s">
        <v>61</v>
      </c>
      <c r="J53" s="135" t="s">
        <v>66</v>
      </c>
      <c r="K53" s="135"/>
      <c r="L53" s="135" t="s">
        <v>88</v>
      </c>
    </row>
    <row r="54" spans="1:12" ht="28.8" x14ac:dyDescent="0.3">
      <c r="A54" s="134">
        <v>3</v>
      </c>
      <c r="B54" s="135" t="s">
        <v>75</v>
      </c>
      <c r="C54" s="135" t="s">
        <v>76</v>
      </c>
      <c r="D54" s="135" t="s">
        <v>71</v>
      </c>
      <c r="E54" s="294"/>
      <c r="F54" s="142" t="s">
        <v>63</v>
      </c>
      <c r="G54" s="295"/>
      <c r="H54" s="138">
        <v>0.01</v>
      </c>
      <c r="I54" s="138" t="s">
        <v>67</v>
      </c>
      <c r="J54" s="135" t="s">
        <v>68</v>
      </c>
      <c r="K54" s="135"/>
      <c r="L54" s="135" t="s">
        <v>88</v>
      </c>
    </row>
    <row r="55" spans="1:12" x14ac:dyDescent="0.3">
      <c r="A55" s="143">
        <v>4</v>
      </c>
      <c r="B55" s="144" t="s">
        <v>77</v>
      </c>
      <c r="C55" s="144" t="s">
        <v>78</v>
      </c>
      <c r="D55" s="144" t="s">
        <v>79</v>
      </c>
      <c r="E55" s="303" t="s">
        <v>41</v>
      </c>
      <c r="F55" s="153" t="s">
        <v>41</v>
      </c>
      <c r="G55" s="302">
        <v>0.5</v>
      </c>
      <c r="H55" s="147">
        <v>0.3</v>
      </c>
      <c r="I55" s="148">
        <v>80</v>
      </c>
      <c r="J55" s="144" t="s">
        <v>42</v>
      </c>
      <c r="K55" s="144"/>
      <c r="L55" s="144" t="s">
        <v>966</v>
      </c>
    </row>
    <row r="56" spans="1:12" x14ac:dyDescent="0.3">
      <c r="A56" s="143">
        <v>4</v>
      </c>
      <c r="B56" s="144" t="s">
        <v>77</v>
      </c>
      <c r="C56" s="144" t="s">
        <v>78</v>
      </c>
      <c r="D56" s="144" t="s">
        <v>79</v>
      </c>
      <c r="E56" s="303"/>
      <c r="F56" s="153" t="s">
        <v>41</v>
      </c>
      <c r="G56" s="302"/>
      <c r="H56" s="147">
        <v>0.2</v>
      </c>
      <c r="I56" s="148">
        <v>150</v>
      </c>
      <c r="J56" s="144" t="s">
        <v>43</v>
      </c>
      <c r="K56" s="144"/>
      <c r="L56" s="144" t="s">
        <v>966</v>
      </c>
    </row>
    <row r="57" spans="1:12" ht="14.55" customHeight="1" x14ac:dyDescent="0.3">
      <c r="A57" s="143">
        <v>4</v>
      </c>
      <c r="B57" s="144" t="s">
        <v>77</v>
      </c>
      <c r="C57" s="144" t="s">
        <v>78</v>
      </c>
      <c r="D57" s="144" t="s">
        <v>79</v>
      </c>
      <c r="E57" s="303" t="s">
        <v>44</v>
      </c>
      <c r="F57" s="153" t="s">
        <v>44</v>
      </c>
      <c r="G57" s="302">
        <v>0.2</v>
      </c>
      <c r="H57" s="147">
        <v>7.4999999999999997E-2</v>
      </c>
      <c r="I57" s="147">
        <v>1</v>
      </c>
      <c r="J57" s="144" t="s">
        <v>72</v>
      </c>
      <c r="K57" s="144"/>
      <c r="L57" s="144" t="s">
        <v>966</v>
      </c>
    </row>
    <row r="58" spans="1:12" ht="28.8" x14ac:dyDescent="0.3">
      <c r="A58" s="143">
        <v>4</v>
      </c>
      <c r="B58" s="144" t="s">
        <v>77</v>
      </c>
      <c r="C58" s="144" t="s">
        <v>78</v>
      </c>
      <c r="D58" s="144" t="s">
        <v>79</v>
      </c>
      <c r="E58" s="303"/>
      <c r="F58" s="153" t="s">
        <v>44</v>
      </c>
      <c r="G58" s="302"/>
      <c r="H58" s="147">
        <v>0.05</v>
      </c>
      <c r="I58" s="147" t="s">
        <v>45</v>
      </c>
      <c r="J58" s="144" t="s">
        <v>46</v>
      </c>
      <c r="K58" s="144"/>
      <c r="L58" s="144" t="s">
        <v>966</v>
      </c>
    </row>
    <row r="59" spans="1:12" ht="28.8" x14ac:dyDescent="0.3">
      <c r="A59" s="143">
        <v>4</v>
      </c>
      <c r="B59" s="144" t="s">
        <v>77</v>
      </c>
      <c r="C59" s="144" t="s">
        <v>78</v>
      </c>
      <c r="D59" s="144" t="s">
        <v>79</v>
      </c>
      <c r="E59" s="303"/>
      <c r="F59" s="153" t="s">
        <v>44</v>
      </c>
      <c r="G59" s="302"/>
      <c r="H59" s="147"/>
      <c r="I59" s="147"/>
      <c r="J59" s="144" t="s">
        <v>47</v>
      </c>
      <c r="K59" s="144"/>
      <c r="L59" s="144" t="s">
        <v>966</v>
      </c>
    </row>
    <row r="60" spans="1:12" ht="28.8" x14ac:dyDescent="0.3">
      <c r="A60" s="143">
        <v>4</v>
      </c>
      <c r="B60" s="144" t="s">
        <v>77</v>
      </c>
      <c r="C60" s="144" t="s">
        <v>78</v>
      </c>
      <c r="D60" s="144" t="s">
        <v>79</v>
      </c>
      <c r="E60" s="303"/>
      <c r="F60" s="153" t="s">
        <v>44</v>
      </c>
      <c r="G60" s="302"/>
      <c r="H60" s="147">
        <v>0.05</v>
      </c>
      <c r="I60" s="147" t="s">
        <v>48</v>
      </c>
      <c r="J60" s="144" t="s">
        <v>49</v>
      </c>
      <c r="K60" s="144"/>
      <c r="L60" s="144" t="s">
        <v>966</v>
      </c>
    </row>
    <row r="61" spans="1:12" ht="28.8" x14ac:dyDescent="0.3">
      <c r="A61" s="143">
        <v>4</v>
      </c>
      <c r="B61" s="144" t="s">
        <v>77</v>
      </c>
      <c r="C61" s="144" t="s">
        <v>78</v>
      </c>
      <c r="D61" s="144" t="s">
        <v>79</v>
      </c>
      <c r="E61" s="303"/>
      <c r="F61" s="153" t="s">
        <v>44</v>
      </c>
      <c r="G61" s="302"/>
      <c r="H61" s="147">
        <v>2.5000000000000001E-2</v>
      </c>
      <c r="I61" s="147">
        <v>1</v>
      </c>
      <c r="J61" s="144" t="s">
        <v>50</v>
      </c>
      <c r="K61" s="144"/>
      <c r="L61" s="144" t="s">
        <v>966</v>
      </c>
    </row>
    <row r="62" spans="1:12" x14ac:dyDescent="0.3">
      <c r="A62" s="143">
        <v>4</v>
      </c>
      <c r="B62" s="144" t="s">
        <v>77</v>
      </c>
      <c r="C62" s="144" t="s">
        <v>78</v>
      </c>
      <c r="D62" s="144" t="s">
        <v>79</v>
      </c>
      <c r="E62" s="303" t="s">
        <v>51</v>
      </c>
      <c r="F62" s="153" t="s">
        <v>51</v>
      </c>
      <c r="G62" s="302">
        <v>0.1</v>
      </c>
      <c r="H62" s="147">
        <v>0.02</v>
      </c>
      <c r="I62" s="147">
        <v>1</v>
      </c>
      <c r="J62" s="144" t="s">
        <v>52</v>
      </c>
      <c r="K62" s="144"/>
      <c r="L62" s="144" t="s">
        <v>966</v>
      </c>
    </row>
    <row r="63" spans="1:12" x14ac:dyDescent="0.3">
      <c r="A63" s="143">
        <v>4</v>
      </c>
      <c r="B63" s="144" t="s">
        <v>77</v>
      </c>
      <c r="C63" s="144" t="s">
        <v>78</v>
      </c>
      <c r="D63" s="144" t="s">
        <v>79</v>
      </c>
      <c r="E63" s="303"/>
      <c r="F63" s="153" t="s">
        <v>51</v>
      </c>
      <c r="G63" s="302"/>
      <c r="H63" s="147">
        <v>7.0000000000000007E-2</v>
      </c>
      <c r="I63" s="147">
        <v>1</v>
      </c>
      <c r="J63" s="144" t="s">
        <v>53</v>
      </c>
      <c r="K63" s="144"/>
      <c r="L63" s="144" t="s">
        <v>966</v>
      </c>
    </row>
    <row r="64" spans="1:12" x14ac:dyDescent="0.3">
      <c r="A64" s="143">
        <v>4</v>
      </c>
      <c r="B64" s="144" t="s">
        <v>77</v>
      </c>
      <c r="C64" s="144" t="s">
        <v>78</v>
      </c>
      <c r="D64" s="144" t="s">
        <v>79</v>
      </c>
      <c r="E64" s="303"/>
      <c r="F64" s="153" t="s">
        <v>51</v>
      </c>
      <c r="G64" s="302"/>
      <c r="H64" s="147">
        <v>0.01</v>
      </c>
      <c r="I64" s="147">
        <v>1</v>
      </c>
      <c r="J64" s="144" t="s">
        <v>54</v>
      </c>
      <c r="K64" s="144"/>
      <c r="L64" s="144" t="s">
        <v>966</v>
      </c>
    </row>
    <row r="65" spans="1:12" x14ac:dyDescent="0.3">
      <c r="A65" s="143">
        <v>4</v>
      </c>
      <c r="B65" s="144" t="s">
        <v>77</v>
      </c>
      <c r="C65" s="144" t="s">
        <v>78</v>
      </c>
      <c r="D65" s="144" t="s">
        <v>79</v>
      </c>
      <c r="E65" s="303" t="s">
        <v>55</v>
      </c>
      <c r="F65" s="153" t="s">
        <v>55</v>
      </c>
      <c r="G65" s="302">
        <v>0.1</v>
      </c>
      <c r="H65" s="147">
        <v>7.4999999999999997E-2</v>
      </c>
      <c r="I65" s="147">
        <v>0.85</v>
      </c>
      <c r="J65" s="144" t="s">
        <v>56</v>
      </c>
      <c r="K65" s="144"/>
      <c r="L65" s="144" t="s">
        <v>966</v>
      </c>
    </row>
    <row r="66" spans="1:12" x14ac:dyDescent="0.3">
      <c r="A66" s="143">
        <v>4</v>
      </c>
      <c r="B66" s="144" t="s">
        <v>77</v>
      </c>
      <c r="C66" s="144" t="s">
        <v>78</v>
      </c>
      <c r="D66" s="144" t="s">
        <v>79</v>
      </c>
      <c r="E66" s="303"/>
      <c r="F66" s="153" t="s">
        <v>55</v>
      </c>
      <c r="G66" s="302"/>
      <c r="H66" s="147">
        <v>2.5000000000000001E-2</v>
      </c>
      <c r="I66" s="147">
        <v>0.04</v>
      </c>
      <c r="J66" s="144" t="s">
        <v>57</v>
      </c>
      <c r="K66" s="144"/>
      <c r="L66" s="144" t="s">
        <v>966</v>
      </c>
    </row>
    <row r="67" spans="1:12" ht="14.55" customHeight="1" x14ac:dyDescent="0.3">
      <c r="A67" s="143">
        <v>4</v>
      </c>
      <c r="B67" s="144" t="s">
        <v>77</v>
      </c>
      <c r="C67" s="144" t="s">
        <v>78</v>
      </c>
      <c r="D67" s="144" t="s">
        <v>79</v>
      </c>
      <c r="E67" s="303" t="s">
        <v>58</v>
      </c>
      <c r="F67" s="153" t="s">
        <v>58</v>
      </c>
      <c r="G67" s="302">
        <v>0.05</v>
      </c>
      <c r="H67" s="147">
        <v>0.02</v>
      </c>
      <c r="I67" s="147">
        <v>1</v>
      </c>
      <c r="J67" s="144" t="s">
        <v>59</v>
      </c>
      <c r="K67" s="144"/>
      <c r="L67" s="144" t="s">
        <v>966</v>
      </c>
    </row>
    <row r="68" spans="1:12" ht="28.8" x14ac:dyDescent="0.3">
      <c r="A68" s="143">
        <v>4</v>
      </c>
      <c r="B68" s="144" t="s">
        <v>77</v>
      </c>
      <c r="C68" s="144" t="s">
        <v>78</v>
      </c>
      <c r="D68" s="144" t="s">
        <v>79</v>
      </c>
      <c r="E68" s="303"/>
      <c r="F68" s="153" t="s">
        <v>58</v>
      </c>
      <c r="G68" s="302"/>
      <c r="H68" s="147">
        <v>0.02</v>
      </c>
      <c r="I68" s="147">
        <v>1</v>
      </c>
      <c r="J68" s="144" t="s">
        <v>60</v>
      </c>
      <c r="K68" s="144"/>
      <c r="L68" s="144" t="s">
        <v>966</v>
      </c>
    </row>
    <row r="69" spans="1:12" ht="28.8" x14ac:dyDescent="0.3">
      <c r="A69" s="143">
        <v>4</v>
      </c>
      <c r="B69" s="144" t="s">
        <v>77</v>
      </c>
      <c r="C69" s="144" t="s">
        <v>78</v>
      </c>
      <c r="D69" s="144" t="s">
        <v>79</v>
      </c>
      <c r="E69" s="303"/>
      <c r="F69" s="153" t="s">
        <v>58</v>
      </c>
      <c r="G69" s="302"/>
      <c r="H69" s="147">
        <v>0.01</v>
      </c>
      <c r="I69" s="147" t="s">
        <v>61</v>
      </c>
      <c r="J69" s="144" t="s">
        <v>62</v>
      </c>
      <c r="K69" s="144"/>
      <c r="L69" s="144" t="s">
        <v>966</v>
      </c>
    </row>
    <row r="70" spans="1:12" ht="14.55" customHeight="1" x14ac:dyDescent="0.3">
      <c r="A70" s="143">
        <v>4</v>
      </c>
      <c r="B70" s="144" t="s">
        <v>77</v>
      </c>
      <c r="C70" s="144" t="s">
        <v>78</v>
      </c>
      <c r="D70" s="144" t="s">
        <v>79</v>
      </c>
      <c r="E70" s="303" t="s">
        <v>63</v>
      </c>
      <c r="F70" s="153" t="s">
        <v>63</v>
      </c>
      <c r="G70" s="302">
        <v>0.05</v>
      </c>
      <c r="H70" s="147">
        <v>0.02</v>
      </c>
      <c r="I70" s="147">
        <v>1</v>
      </c>
      <c r="J70" s="144" t="s">
        <v>64</v>
      </c>
      <c r="K70" s="144"/>
      <c r="L70" s="144" t="s">
        <v>966</v>
      </c>
    </row>
    <row r="71" spans="1:12" ht="28.8" x14ac:dyDescent="0.3">
      <c r="A71" s="143">
        <v>4</v>
      </c>
      <c r="B71" s="144" t="s">
        <v>77</v>
      </c>
      <c r="C71" s="144" t="s">
        <v>78</v>
      </c>
      <c r="D71" s="144" t="s">
        <v>79</v>
      </c>
      <c r="E71" s="303"/>
      <c r="F71" s="153" t="s">
        <v>63</v>
      </c>
      <c r="G71" s="302"/>
      <c r="H71" s="147">
        <v>0.01</v>
      </c>
      <c r="I71" s="147">
        <v>0</v>
      </c>
      <c r="J71" s="144" t="s">
        <v>65</v>
      </c>
      <c r="K71" s="144"/>
      <c r="L71" s="144" t="s">
        <v>966</v>
      </c>
    </row>
    <row r="72" spans="1:12" ht="28.8" x14ac:dyDescent="0.3">
      <c r="A72" s="143">
        <v>4</v>
      </c>
      <c r="B72" s="144" t="s">
        <v>77</v>
      </c>
      <c r="C72" s="144" t="s">
        <v>78</v>
      </c>
      <c r="D72" s="144" t="s">
        <v>79</v>
      </c>
      <c r="E72" s="303"/>
      <c r="F72" s="153" t="s">
        <v>63</v>
      </c>
      <c r="G72" s="302"/>
      <c r="H72" s="147">
        <v>0.01</v>
      </c>
      <c r="I72" s="147" t="s">
        <v>61</v>
      </c>
      <c r="J72" s="144" t="s">
        <v>66</v>
      </c>
      <c r="K72" s="144"/>
      <c r="L72" s="144" t="s">
        <v>966</v>
      </c>
    </row>
    <row r="73" spans="1:12" ht="28.8" x14ac:dyDescent="0.3">
      <c r="A73" s="143">
        <v>4</v>
      </c>
      <c r="B73" s="144" t="s">
        <v>77</v>
      </c>
      <c r="C73" s="144" t="s">
        <v>78</v>
      </c>
      <c r="D73" s="144" t="s">
        <v>79</v>
      </c>
      <c r="E73" s="303"/>
      <c r="F73" s="153" t="s">
        <v>63</v>
      </c>
      <c r="G73" s="302"/>
      <c r="H73" s="147">
        <v>0.01</v>
      </c>
      <c r="I73" s="147" t="s">
        <v>67</v>
      </c>
      <c r="J73" s="144" t="s">
        <v>68</v>
      </c>
      <c r="K73" s="144"/>
      <c r="L73" s="144" t="s">
        <v>966</v>
      </c>
    </row>
    <row r="74" spans="1:12" x14ac:dyDescent="0.3">
      <c r="A74" s="134">
        <v>5</v>
      </c>
      <c r="B74" s="135" t="s">
        <v>80</v>
      </c>
      <c r="C74" s="135" t="s">
        <v>81</v>
      </c>
      <c r="D74" s="135" t="s">
        <v>82</v>
      </c>
      <c r="E74" s="296" t="s">
        <v>41</v>
      </c>
      <c r="F74" s="137" t="s">
        <v>41</v>
      </c>
      <c r="G74" s="295">
        <v>0.5</v>
      </c>
      <c r="H74" s="138">
        <v>0.3</v>
      </c>
      <c r="I74" s="139">
        <v>80</v>
      </c>
      <c r="J74" s="135" t="s">
        <v>42</v>
      </c>
      <c r="K74" s="135"/>
      <c r="L74" s="135" t="s">
        <v>39</v>
      </c>
    </row>
    <row r="75" spans="1:12" x14ac:dyDescent="0.3">
      <c r="A75" s="134">
        <v>5</v>
      </c>
      <c r="B75" s="135" t="s">
        <v>80</v>
      </c>
      <c r="C75" s="135" t="s">
        <v>81</v>
      </c>
      <c r="D75" s="135" t="s">
        <v>82</v>
      </c>
      <c r="E75" s="296"/>
      <c r="F75" s="137" t="s">
        <v>41</v>
      </c>
      <c r="G75" s="295"/>
      <c r="H75" s="138">
        <v>0.2</v>
      </c>
      <c r="I75" s="139">
        <v>150</v>
      </c>
      <c r="J75" s="135" t="s">
        <v>43</v>
      </c>
      <c r="K75" s="135"/>
      <c r="L75" s="135" t="s">
        <v>39</v>
      </c>
    </row>
    <row r="76" spans="1:12" ht="14.55" customHeight="1" x14ac:dyDescent="0.3">
      <c r="A76" s="134">
        <v>5</v>
      </c>
      <c r="B76" s="135" t="s">
        <v>80</v>
      </c>
      <c r="C76" s="135" t="s">
        <v>81</v>
      </c>
      <c r="D76" s="135" t="s">
        <v>82</v>
      </c>
      <c r="E76" s="296" t="s">
        <v>44</v>
      </c>
      <c r="F76" s="137" t="s">
        <v>44</v>
      </c>
      <c r="G76" s="295">
        <v>0.2</v>
      </c>
      <c r="H76" s="138">
        <v>0.08</v>
      </c>
      <c r="I76" s="138" t="s">
        <v>45</v>
      </c>
      <c r="J76" s="135" t="s">
        <v>46</v>
      </c>
      <c r="K76" s="135"/>
      <c r="L76" s="135" t="s">
        <v>39</v>
      </c>
    </row>
    <row r="77" spans="1:12" ht="28.8" x14ac:dyDescent="0.3">
      <c r="A77" s="134">
        <v>5</v>
      </c>
      <c r="B77" s="135" t="s">
        <v>80</v>
      </c>
      <c r="C77" s="135" t="s">
        <v>81</v>
      </c>
      <c r="D77" s="135" t="s">
        <v>82</v>
      </c>
      <c r="E77" s="296"/>
      <c r="F77" s="137" t="s">
        <v>44</v>
      </c>
      <c r="G77" s="295"/>
      <c r="H77" s="138"/>
      <c r="I77" s="138"/>
      <c r="J77" s="135" t="s">
        <v>47</v>
      </c>
      <c r="K77" s="135"/>
      <c r="L77" s="135" t="s">
        <v>39</v>
      </c>
    </row>
    <row r="78" spans="1:12" ht="28.8" x14ac:dyDescent="0.3">
      <c r="A78" s="134">
        <v>5</v>
      </c>
      <c r="B78" s="135" t="s">
        <v>80</v>
      </c>
      <c r="C78" s="135" t="s">
        <v>81</v>
      </c>
      <c r="D78" s="135" t="s">
        <v>82</v>
      </c>
      <c r="E78" s="296"/>
      <c r="F78" s="137" t="s">
        <v>44</v>
      </c>
      <c r="G78" s="295"/>
      <c r="H78" s="138">
        <v>0.08</v>
      </c>
      <c r="I78" s="138" t="s">
        <v>48</v>
      </c>
      <c r="J78" s="135" t="s">
        <v>49</v>
      </c>
      <c r="K78" s="135"/>
      <c r="L78" s="135" t="s">
        <v>39</v>
      </c>
    </row>
    <row r="79" spans="1:12" ht="28.8" x14ac:dyDescent="0.3">
      <c r="A79" s="134">
        <v>5</v>
      </c>
      <c r="B79" s="135" t="s">
        <v>80</v>
      </c>
      <c r="C79" s="135" t="s">
        <v>81</v>
      </c>
      <c r="D79" s="135" t="s">
        <v>82</v>
      </c>
      <c r="E79" s="296"/>
      <c r="F79" s="137" t="s">
        <v>44</v>
      </c>
      <c r="G79" s="295"/>
      <c r="H79" s="138">
        <v>0.04</v>
      </c>
      <c r="I79" s="138"/>
      <c r="J79" s="135" t="s">
        <v>50</v>
      </c>
      <c r="K79" s="135"/>
      <c r="L79" s="135" t="s">
        <v>39</v>
      </c>
    </row>
    <row r="80" spans="1:12" x14ac:dyDescent="0.3">
      <c r="A80" s="134">
        <v>5</v>
      </c>
      <c r="B80" s="135" t="s">
        <v>80</v>
      </c>
      <c r="C80" s="135" t="s">
        <v>81</v>
      </c>
      <c r="D80" s="135" t="s">
        <v>82</v>
      </c>
      <c r="E80" s="294" t="s">
        <v>51</v>
      </c>
      <c r="F80" s="142" t="s">
        <v>51</v>
      </c>
      <c r="G80" s="295">
        <v>0.1</v>
      </c>
      <c r="H80" s="138">
        <v>0.02</v>
      </c>
      <c r="I80" s="138">
        <v>1</v>
      </c>
      <c r="J80" s="135" t="s">
        <v>52</v>
      </c>
      <c r="K80" s="135"/>
      <c r="L80" s="135" t="s">
        <v>39</v>
      </c>
    </row>
    <row r="81" spans="1:12" x14ac:dyDescent="0.3">
      <c r="A81" s="134">
        <v>5</v>
      </c>
      <c r="B81" s="135" t="s">
        <v>80</v>
      </c>
      <c r="C81" s="135" t="s">
        <v>81</v>
      </c>
      <c r="D81" s="135" t="s">
        <v>82</v>
      </c>
      <c r="E81" s="294"/>
      <c r="F81" s="142" t="s">
        <v>51</v>
      </c>
      <c r="G81" s="295"/>
      <c r="H81" s="138">
        <v>7.0000000000000007E-2</v>
      </c>
      <c r="I81" s="138">
        <v>1</v>
      </c>
      <c r="J81" s="135" t="s">
        <v>53</v>
      </c>
      <c r="K81" s="135"/>
      <c r="L81" s="135" t="s">
        <v>39</v>
      </c>
    </row>
    <row r="82" spans="1:12" x14ac:dyDescent="0.3">
      <c r="A82" s="134">
        <v>5</v>
      </c>
      <c r="B82" s="135" t="s">
        <v>80</v>
      </c>
      <c r="C82" s="135" t="s">
        <v>81</v>
      </c>
      <c r="D82" s="135" t="s">
        <v>82</v>
      </c>
      <c r="E82" s="294"/>
      <c r="F82" s="142" t="s">
        <v>51</v>
      </c>
      <c r="G82" s="295"/>
      <c r="H82" s="138">
        <v>0.01</v>
      </c>
      <c r="I82" s="138">
        <v>1</v>
      </c>
      <c r="J82" s="135" t="s">
        <v>54</v>
      </c>
      <c r="K82" s="135"/>
      <c r="L82" s="135" t="s">
        <v>39</v>
      </c>
    </row>
    <row r="83" spans="1:12" x14ac:dyDescent="0.3">
      <c r="A83" s="134">
        <v>5</v>
      </c>
      <c r="B83" s="135" t="s">
        <v>80</v>
      </c>
      <c r="C83" s="135" t="s">
        <v>81</v>
      </c>
      <c r="D83" s="135" t="s">
        <v>82</v>
      </c>
      <c r="E83" s="294" t="s">
        <v>55</v>
      </c>
      <c r="F83" s="142" t="s">
        <v>55</v>
      </c>
      <c r="G83" s="295">
        <v>0.1</v>
      </c>
      <c r="H83" s="138">
        <v>7.4999999999999997E-2</v>
      </c>
      <c r="I83" s="138">
        <v>0.85</v>
      </c>
      <c r="J83" s="135" t="s">
        <v>56</v>
      </c>
      <c r="K83" s="135"/>
      <c r="L83" s="135" t="s">
        <v>39</v>
      </c>
    </row>
    <row r="84" spans="1:12" x14ac:dyDescent="0.3">
      <c r="A84" s="134">
        <v>5</v>
      </c>
      <c r="B84" s="135" t="s">
        <v>80</v>
      </c>
      <c r="C84" s="135" t="s">
        <v>81</v>
      </c>
      <c r="D84" s="135" t="s">
        <v>82</v>
      </c>
      <c r="E84" s="294"/>
      <c r="F84" s="142" t="s">
        <v>55</v>
      </c>
      <c r="G84" s="295"/>
      <c r="H84" s="138">
        <v>2.5000000000000001E-2</v>
      </c>
      <c r="I84" s="138">
        <v>0.04</v>
      </c>
      <c r="J84" s="135" t="s">
        <v>57</v>
      </c>
      <c r="K84" s="135"/>
      <c r="L84" s="135" t="s">
        <v>39</v>
      </c>
    </row>
    <row r="85" spans="1:12" ht="14.55" customHeight="1" x14ac:dyDescent="0.3">
      <c r="A85" s="134">
        <v>5</v>
      </c>
      <c r="B85" s="135" t="s">
        <v>80</v>
      </c>
      <c r="C85" s="135" t="s">
        <v>81</v>
      </c>
      <c r="D85" s="135" t="s">
        <v>82</v>
      </c>
      <c r="E85" s="294" t="s">
        <v>58</v>
      </c>
      <c r="F85" s="142" t="s">
        <v>58</v>
      </c>
      <c r="G85" s="295">
        <v>0.05</v>
      </c>
      <c r="H85" s="138">
        <v>0.02</v>
      </c>
      <c r="I85" s="138">
        <v>1</v>
      </c>
      <c r="J85" s="135" t="s">
        <v>73</v>
      </c>
      <c r="K85" s="135"/>
      <c r="L85" s="135" t="s">
        <v>39</v>
      </c>
    </row>
    <row r="86" spans="1:12" ht="28.8" x14ac:dyDescent="0.3">
      <c r="A86" s="134">
        <v>5</v>
      </c>
      <c r="B86" s="135" t="s">
        <v>80</v>
      </c>
      <c r="C86" s="135" t="s">
        <v>81</v>
      </c>
      <c r="D86" s="135" t="s">
        <v>82</v>
      </c>
      <c r="E86" s="294"/>
      <c r="F86" s="142" t="s">
        <v>58</v>
      </c>
      <c r="G86" s="295"/>
      <c r="H86" s="138">
        <v>0.02</v>
      </c>
      <c r="I86" s="138">
        <v>1</v>
      </c>
      <c r="J86" s="135" t="s">
        <v>83</v>
      </c>
      <c r="K86" s="135"/>
      <c r="L86" s="135" t="s">
        <v>39</v>
      </c>
    </row>
    <row r="87" spans="1:12" ht="28.8" x14ac:dyDescent="0.3">
      <c r="A87" s="134">
        <v>5</v>
      </c>
      <c r="B87" s="135" t="s">
        <v>80</v>
      </c>
      <c r="C87" s="135" t="s">
        <v>81</v>
      </c>
      <c r="D87" s="135" t="s">
        <v>82</v>
      </c>
      <c r="E87" s="294"/>
      <c r="F87" s="142" t="s">
        <v>58</v>
      </c>
      <c r="G87" s="295"/>
      <c r="H87" s="138">
        <v>0.01</v>
      </c>
      <c r="I87" s="138" t="s">
        <v>61</v>
      </c>
      <c r="J87" s="135" t="s">
        <v>84</v>
      </c>
      <c r="K87" s="135"/>
      <c r="L87" s="135" t="s">
        <v>39</v>
      </c>
    </row>
    <row r="88" spans="1:12" ht="14.55" customHeight="1" x14ac:dyDescent="0.3">
      <c r="A88" s="134">
        <v>5</v>
      </c>
      <c r="B88" s="135" t="s">
        <v>80</v>
      </c>
      <c r="C88" s="135" t="s">
        <v>81</v>
      </c>
      <c r="D88" s="135" t="s">
        <v>82</v>
      </c>
      <c r="E88" s="294" t="s">
        <v>63</v>
      </c>
      <c r="F88" s="142" t="s">
        <v>63</v>
      </c>
      <c r="G88" s="295">
        <v>0.05</v>
      </c>
      <c r="H88" s="138">
        <v>0.02</v>
      </c>
      <c r="I88" s="138">
        <v>1</v>
      </c>
      <c r="J88" s="135" t="s">
        <v>64</v>
      </c>
      <c r="K88" s="135"/>
      <c r="L88" s="135" t="s">
        <v>39</v>
      </c>
    </row>
    <row r="89" spans="1:12" ht="28.8" x14ac:dyDescent="0.3">
      <c r="A89" s="134">
        <v>5</v>
      </c>
      <c r="B89" s="135" t="s">
        <v>80</v>
      </c>
      <c r="C89" s="135" t="s">
        <v>81</v>
      </c>
      <c r="D89" s="135" t="s">
        <v>82</v>
      </c>
      <c r="E89" s="294"/>
      <c r="F89" s="142" t="s">
        <v>63</v>
      </c>
      <c r="G89" s="295"/>
      <c r="H89" s="138">
        <v>0.01</v>
      </c>
      <c r="I89" s="138">
        <v>0</v>
      </c>
      <c r="J89" s="135" t="s">
        <v>65</v>
      </c>
      <c r="K89" s="135"/>
      <c r="L89" s="135" t="s">
        <v>39</v>
      </c>
    </row>
    <row r="90" spans="1:12" ht="28.8" x14ac:dyDescent="0.3">
      <c r="A90" s="134">
        <v>5</v>
      </c>
      <c r="B90" s="135" t="s">
        <v>80</v>
      </c>
      <c r="C90" s="135" t="s">
        <v>81</v>
      </c>
      <c r="D90" s="135" t="s">
        <v>82</v>
      </c>
      <c r="E90" s="294"/>
      <c r="F90" s="142" t="s">
        <v>63</v>
      </c>
      <c r="G90" s="295"/>
      <c r="H90" s="138">
        <v>0.01</v>
      </c>
      <c r="I90" s="138" t="s">
        <v>61</v>
      </c>
      <c r="J90" s="135" t="s">
        <v>66</v>
      </c>
      <c r="K90" s="135"/>
      <c r="L90" s="135" t="s">
        <v>39</v>
      </c>
    </row>
    <row r="91" spans="1:12" ht="28.8" x14ac:dyDescent="0.3">
      <c r="A91" s="134">
        <v>5</v>
      </c>
      <c r="B91" s="135" t="s">
        <v>80</v>
      </c>
      <c r="C91" s="135" t="s">
        <v>81</v>
      </c>
      <c r="D91" s="135" t="s">
        <v>82</v>
      </c>
      <c r="E91" s="294"/>
      <c r="F91" s="142" t="s">
        <v>63</v>
      </c>
      <c r="G91" s="295"/>
      <c r="H91" s="138">
        <v>0.01</v>
      </c>
      <c r="I91" s="138" t="s">
        <v>67</v>
      </c>
      <c r="J91" s="135" t="s">
        <v>68</v>
      </c>
      <c r="K91" s="135"/>
      <c r="L91" s="135" t="s">
        <v>39</v>
      </c>
    </row>
    <row r="92" spans="1:12" x14ac:dyDescent="0.3">
      <c r="A92" s="143">
        <v>6</v>
      </c>
      <c r="B92" s="144" t="s">
        <v>26</v>
      </c>
      <c r="C92" s="144" t="s">
        <v>85</v>
      </c>
      <c r="D92" s="144" t="s">
        <v>86</v>
      </c>
      <c r="E92" s="300" t="s">
        <v>41</v>
      </c>
      <c r="F92" s="146" t="s">
        <v>41</v>
      </c>
      <c r="G92" s="302">
        <v>0.5</v>
      </c>
      <c r="H92" s="147">
        <v>0.3</v>
      </c>
      <c r="I92" s="148">
        <v>80</v>
      </c>
      <c r="J92" s="144" t="s">
        <v>42</v>
      </c>
      <c r="K92" s="144"/>
      <c r="L92" s="144" t="s">
        <v>78</v>
      </c>
    </row>
    <row r="93" spans="1:12" x14ac:dyDescent="0.3">
      <c r="A93" s="143">
        <v>6</v>
      </c>
      <c r="B93" s="144" t="s">
        <v>26</v>
      </c>
      <c r="C93" s="144" t="s">
        <v>85</v>
      </c>
      <c r="D93" s="144" t="s">
        <v>86</v>
      </c>
      <c r="E93" s="300"/>
      <c r="F93" s="146" t="s">
        <v>41</v>
      </c>
      <c r="G93" s="302"/>
      <c r="H93" s="147">
        <v>0.2</v>
      </c>
      <c r="I93" s="148">
        <v>150</v>
      </c>
      <c r="J93" s="144" t="s">
        <v>43</v>
      </c>
      <c r="K93" s="144"/>
      <c r="L93" s="144" t="s">
        <v>78</v>
      </c>
    </row>
    <row r="94" spans="1:12" ht="14.55" customHeight="1" x14ac:dyDescent="0.3">
      <c r="A94" s="143">
        <v>6</v>
      </c>
      <c r="B94" s="144" t="s">
        <v>26</v>
      </c>
      <c r="C94" s="144" t="s">
        <v>85</v>
      </c>
      <c r="D94" s="144" t="s">
        <v>86</v>
      </c>
      <c r="E94" s="300" t="s">
        <v>44</v>
      </c>
      <c r="F94" s="146" t="s">
        <v>44</v>
      </c>
      <c r="G94" s="302">
        <v>0.2</v>
      </c>
      <c r="H94" s="154">
        <v>0.04</v>
      </c>
      <c r="I94" s="147">
        <v>1</v>
      </c>
      <c r="J94" s="144" t="s">
        <v>72</v>
      </c>
      <c r="K94" s="144"/>
      <c r="L94" s="144" t="s">
        <v>78</v>
      </c>
    </row>
    <row r="95" spans="1:12" ht="28.8" x14ac:dyDescent="0.3">
      <c r="A95" s="143">
        <v>6</v>
      </c>
      <c r="B95" s="144" t="s">
        <v>26</v>
      </c>
      <c r="C95" s="144" t="s">
        <v>85</v>
      </c>
      <c r="D95" s="144" t="s">
        <v>86</v>
      </c>
      <c r="E95" s="300"/>
      <c r="F95" s="146" t="s">
        <v>44</v>
      </c>
      <c r="G95" s="302"/>
      <c r="H95" s="154">
        <v>0.04</v>
      </c>
      <c r="I95" s="147" t="s">
        <v>45</v>
      </c>
      <c r="J95" s="144" t="s">
        <v>46</v>
      </c>
      <c r="K95" s="144"/>
      <c r="L95" s="144" t="s">
        <v>78</v>
      </c>
    </row>
    <row r="96" spans="1:12" ht="28.8" x14ac:dyDescent="0.3">
      <c r="A96" s="143">
        <v>6</v>
      </c>
      <c r="B96" s="144" t="s">
        <v>26</v>
      </c>
      <c r="C96" s="144" t="s">
        <v>85</v>
      </c>
      <c r="D96" s="144" t="s">
        <v>86</v>
      </c>
      <c r="E96" s="300"/>
      <c r="F96" s="146" t="s">
        <v>44</v>
      </c>
      <c r="G96" s="302"/>
      <c r="H96" s="154"/>
      <c r="I96" s="147"/>
      <c r="J96" s="144" t="s">
        <v>47</v>
      </c>
      <c r="K96" s="144"/>
      <c r="L96" s="144" t="s">
        <v>78</v>
      </c>
    </row>
    <row r="97" spans="1:12" ht="28.8" x14ac:dyDescent="0.3">
      <c r="A97" s="143">
        <v>6</v>
      </c>
      <c r="B97" s="144" t="s">
        <v>26</v>
      </c>
      <c r="C97" s="144" t="s">
        <v>85</v>
      </c>
      <c r="D97" s="144" t="s">
        <v>86</v>
      </c>
      <c r="E97" s="300"/>
      <c r="F97" s="146" t="s">
        <v>44</v>
      </c>
      <c r="G97" s="302"/>
      <c r="H97" s="154">
        <v>0.08</v>
      </c>
      <c r="I97" s="147" t="s">
        <v>48</v>
      </c>
      <c r="J97" s="144" t="s">
        <v>49</v>
      </c>
      <c r="K97" s="144"/>
      <c r="L97" s="144" t="s">
        <v>78</v>
      </c>
    </row>
    <row r="98" spans="1:12" ht="28.8" x14ac:dyDescent="0.3">
      <c r="A98" s="143">
        <v>6</v>
      </c>
      <c r="B98" s="144" t="s">
        <v>26</v>
      </c>
      <c r="C98" s="144" t="s">
        <v>85</v>
      </c>
      <c r="D98" s="144" t="s">
        <v>86</v>
      </c>
      <c r="E98" s="300"/>
      <c r="F98" s="146" t="s">
        <v>44</v>
      </c>
      <c r="G98" s="302"/>
      <c r="H98" s="154">
        <v>0.04</v>
      </c>
      <c r="I98" s="147"/>
      <c r="J98" s="144" t="s">
        <v>50</v>
      </c>
      <c r="K98" s="144"/>
      <c r="L98" s="144" t="s">
        <v>78</v>
      </c>
    </row>
    <row r="99" spans="1:12" x14ac:dyDescent="0.3">
      <c r="A99" s="143">
        <v>6</v>
      </c>
      <c r="B99" s="144" t="s">
        <v>26</v>
      </c>
      <c r="C99" s="144" t="s">
        <v>85</v>
      </c>
      <c r="D99" s="144" t="s">
        <v>86</v>
      </c>
      <c r="E99" s="303" t="s">
        <v>51</v>
      </c>
      <c r="F99" s="153" t="s">
        <v>51</v>
      </c>
      <c r="G99" s="302">
        <v>0.1</v>
      </c>
      <c r="H99" s="147">
        <v>0.02</v>
      </c>
      <c r="I99" s="147">
        <v>1</v>
      </c>
      <c r="J99" s="144" t="s">
        <v>52</v>
      </c>
      <c r="K99" s="144"/>
      <c r="L99" s="144" t="s">
        <v>78</v>
      </c>
    </row>
    <row r="100" spans="1:12" x14ac:dyDescent="0.3">
      <c r="A100" s="143">
        <v>6</v>
      </c>
      <c r="B100" s="144" t="s">
        <v>26</v>
      </c>
      <c r="C100" s="144" t="s">
        <v>85</v>
      </c>
      <c r="D100" s="144" t="s">
        <v>86</v>
      </c>
      <c r="E100" s="303"/>
      <c r="F100" s="153" t="s">
        <v>51</v>
      </c>
      <c r="G100" s="302"/>
      <c r="H100" s="147">
        <v>7.0000000000000007E-2</v>
      </c>
      <c r="I100" s="147">
        <v>1</v>
      </c>
      <c r="J100" s="144" t="s">
        <v>53</v>
      </c>
      <c r="K100" s="144"/>
      <c r="L100" s="144" t="s">
        <v>78</v>
      </c>
    </row>
    <row r="101" spans="1:12" x14ac:dyDescent="0.3">
      <c r="A101" s="143">
        <v>6</v>
      </c>
      <c r="B101" s="144" t="s">
        <v>26</v>
      </c>
      <c r="C101" s="144" t="s">
        <v>85</v>
      </c>
      <c r="D101" s="144" t="s">
        <v>86</v>
      </c>
      <c r="E101" s="303"/>
      <c r="F101" s="153" t="s">
        <v>51</v>
      </c>
      <c r="G101" s="302"/>
      <c r="H101" s="147">
        <v>0.01</v>
      </c>
      <c r="I101" s="147">
        <v>1</v>
      </c>
      <c r="J101" s="144" t="s">
        <v>54</v>
      </c>
      <c r="K101" s="144"/>
      <c r="L101" s="144" t="s">
        <v>78</v>
      </c>
    </row>
    <row r="102" spans="1:12" x14ac:dyDescent="0.3">
      <c r="A102" s="143">
        <v>6</v>
      </c>
      <c r="B102" s="144" t="s">
        <v>26</v>
      </c>
      <c r="C102" s="144" t="s">
        <v>85</v>
      </c>
      <c r="D102" s="144" t="s">
        <v>86</v>
      </c>
      <c r="E102" s="303" t="s">
        <v>55</v>
      </c>
      <c r="F102" s="153" t="s">
        <v>55</v>
      </c>
      <c r="G102" s="302">
        <v>0.1</v>
      </c>
      <c r="H102" s="147">
        <v>7.4999999999999997E-2</v>
      </c>
      <c r="I102" s="147">
        <v>0.85</v>
      </c>
      <c r="J102" s="144" t="s">
        <v>56</v>
      </c>
      <c r="K102" s="144"/>
      <c r="L102" s="144" t="s">
        <v>78</v>
      </c>
    </row>
    <row r="103" spans="1:12" x14ac:dyDescent="0.3">
      <c r="A103" s="143">
        <v>6</v>
      </c>
      <c r="B103" s="144" t="s">
        <v>26</v>
      </c>
      <c r="C103" s="144" t="s">
        <v>85</v>
      </c>
      <c r="D103" s="144" t="s">
        <v>86</v>
      </c>
      <c r="E103" s="303"/>
      <c r="F103" s="153" t="s">
        <v>55</v>
      </c>
      <c r="G103" s="302"/>
      <c r="H103" s="147">
        <v>2.5000000000000001E-2</v>
      </c>
      <c r="I103" s="147">
        <v>0.04</v>
      </c>
      <c r="J103" s="144" t="s">
        <v>57</v>
      </c>
      <c r="K103" s="144"/>
      <c r="L103" s="144" t="s">
        <v>78</v>
      </c>
    </row>
    <row r="104" spans="1:12" ht="14.55" customHeight="1" x14ac:dyDescent="0.3">
      <c r="A104" s="143">
        <v>6</v>
      </c>
      <c r="B104" s="144" t="s">
        <v>26</v>
      </c>
      <c r="C104" s="144" t="s">
        <v>85</v>
      </c>
      <c r="D104" s="144" t="s">
        <v>86</v>
      </c>
      <c r="E104" s="303" t="s">
        <v>58</v>
      </c>
      <c r="F104" s="153" t="s">
        <v>58</v>
      </c>
      <c r="G104" s="302">
        <v>0.05</v>
      </c>
      <c r="H104" s="147">
        <v>0.03</v>
      </c>
      <c r="I104" s="147">
        <v>1</v>
      </c>
      <c r="J104" s="144" t="s">
        <v>73</v>
      </c>
      <c r="K104" s="144"/>
      <c r="L104" s="144" t="s">
        <v>78</v>
      </c>
    </row>
    <row r="105" spans="1:12" ht="28.8" x14ac:dyDescent="0.3">
      <c r="A105" s="143">
        <v>6</v>
      </c>
      <c r="B105" s="144" t="s">
        <v>26</v>
      </c>
      <c r="C105" s="144" t="s">
        <v>85</v>
      </c>
      <c r="D105" s="144" t="s">
        <v>86</v>
      </c>
      <c r="E105" s="303"/>
      <c r="F105" s="153" t="s">
        <v>58</v>
      </c>
      <c r="G105" s="302"/>
      <c r="H105" s="147">
        <v>0.02</v>
      </c>
      <c r="I105" s="147">
        <v>1</v>
      </c>
      <c r="J105" s="144" t="s">
        <v>74</v>
      </c>
      <c r="K105" s="144"/>
      <c r="L105" s="144" t="s">
        <v>78</v>
      </c>
    </row>
    <row r="106" spans="1:12" ht="14.55" customHeight="1" x14ac:dyDescent="0.3">
      <c r="A106" s="143">
        <v>6</v>
      </c>
      <c r="B106" s="144" t="s">
        <v>26</v>
      </c>
      <c r="C106" s="144" t="s">
        <v>85</v>
      </c>
      <c r="D106" s="144" t="s">
        <v>86</v>
      </c>
      <c r="E106" s="303" t="s">
        <v>63</v>
      </c>
      <c r="F106" s="153" t="s">
        <v>63</v>
      </c>
      <c r="G106" s="302">
        <v>0.05</v>
      </c>
      <c r="H106" s="147">
        <v>0.02</v>
      </c>
      <c r="I106" s="147">
        <v>1</v>
      </c>
      <c r="J106" s="144" t="s">
        <v>64</v>
      </c>
      <c r="K106" s="144"/>
      <c r="L106" s="144" t="s">
        <v>78</v>
      </c>
    </row>
    <row r="107" spans="1:12" ht="28.8" x14ac:dyDescent="0.3">
      <c r="A107" s="143">
        <v>6</v>
      </c>
      <c r="B107" s="144" t="s">
        <v>26</v>
      </c>
      <c r="C107" s="144" t="s">
        <v>85</v>
      </c>
      <c r="D107" s="144" t="s">
        <v>86</v>
      </c>
      <c r="E107" s="303"/>
      <c r="F107" s="153" t="s">
        <v>63</v>
      </c>
      <c r="G107" s="302"/>
      <c r="H107" s="147">
        <v>0.01</v>
      </c>
      <c r="I107" s="147">
        <v>0</v>
      </c>
      <c r="J107" s="144" t="s">
        <v>65</v>
      </c>
      <c r="K107" s="144"/>
      <c r="L107" s="144" t="s">
        <v>78</v>
      </c>
    </row>
    <row r="108" spans="1:12" ht="28.8" x14ac:dyDescent="0.3">
      <c r="A108" s="143">
        <v>6</v>
      </c>
      <c r="B108" s="144" t="s">
        <v>26</v>
      </c>
      <c r="C108" s="144" t="s">
        <v>85</v>
      </c>
      <c r="D108" s="144" t="s">
        <v>86</v>
      </c>
      <c r="E108" s="303"/>
      <c r="F108" s="153" t="s">
        <v>63</v>
      </c>
      <c r="G108" s="302"/>
      <c r="H108" s="147">
        <v>0.01</v>
      </c>
      <c r="I108" s="147" t="s">
        <v>61</v>
      </c>
      <c r="J108" s="144" t="s">
        <v>66</v>
      </c>
      <c r="K108" s="144"/>
      <c r="L108" s="144" t="s">
        <v>78</v>
      </c>
    </row>
    <row r="109" spans="1:12" ht="28.8" x14ac:dyDescent="0.3">
      <c r="A109" s="143">
        <v>6</v>
      </c>
      <c r="B109" s="144" t="s">
        <v>26</v>
      </c>
      <c r="C109" s="144" t="s">
        <v>85</v>
      </c>
      <c r="D109" s="144" t="s">
        <v>86</v>
      </c>
      <c r="E109" s="303"/>
      <c r="F109" s="153" t="s">
        <v>63</v>
      </c>
      <c r="G109" s="302"/>
      <c r="H109" s="147">
        <v>0.01</v>
      </c>
      <c r="I109" s="147" t="s">
        <v>67</v>
      </c>
      <c r="J109" s="144" t="s">
        <v>68</v>
      </c>
      <c r="K109" s="144"/>
      <c r="L109" s="144" t="s">
        <v>78</v>
      </c>
    </row>
    <row r="110" spans="1:12" x14ac:dyDescent="0.3">
      <c r="A110" s="134">
        <v>7</v>
      </c>
      <c r="B110" s="135" t="s">
        <v>87</v>
      </c>
      <c r="C110" s="135" t="s">
        <v>88</v>
      </c>
      <c r="D110" s="135" t="s">
        <v>89</v>
      </c>
      <c r="E110" s="296" t="s">
        <v>41</v>
      </c>
      <c r="F110" s="137" t="s">
        <v>41</v>
      </c>
      <c r="G110" s="295">
        <v>0.5</v>
      </c>
      <c r="H110" s="138">
        <v>0.3</v>
      </c>
      <c r="I110" s="139">
        <v>80</v>
      </c>
      <c r="J110" s="135" t="s">
        <v>42</v>
      </c>
      <c r="K110" s="135"/>
      <c r="L110" s="135" t="s">
        <v>78</v>
      </c>
    </row>
    <row r="111" spans="1:12" x14ac:dyDescent="0.3">
      <c r="A111" s="134">
        <v>7</v>
      </c>
      <c r="B111" s="135" t="s">
        <v>87</v>
      </c>
      <c r="C111" s="135" t="s">
        <v>88</v>
      </c>
      <c r="D111" s="135" t="s">
        <v>89</v>
      </c>
      <c r="E111" s="296"/>
      <c r="F111" s="137" t="s">
        <v>41</v>
      </c>
      <c r="G111" s="295"/>
      <c r="H111" s="138">
        <v>0.2</v>
      </c>
      <c r="I111" s="139">
        <v>150</v>
      </c>
      <c r="J111" s="135" t="s">
        <v>43</v>
      </c>
      <c r="K111" s="135"/>
      <c r="L111" s="135" t="s">
        <v>78</v>
      </c>
    </row>
    <row r="112" spans="1:12" ht="14.55" customHeight="1" x14ac:dyDescent="0.3">
      <c r="A112" s="134">
        <v>7</v>
      </c>
      <c r="B112" s="135" t="s">
        <v>87</v>
      </c>
      <c r="C112" s="135" t="s">
        <v>88</v>
      </c>
      <c r="D112" s="135" t="s">
        <v>89</v>
      </c>
      <c r="E112" s="296" t="s">
        <v>44</v>
      </c>
      <c r="F112" s="137" t="s">
        <v>44</v>
      </c>
      <c r="G112" s="295">
        <v>0.2</v>
      </c>
      <c r="H112" s="138">
        <v>0.09</v>
      </c>
      <c r="I112" s="138">
        <v>1</v>
      </c>
      <c r="J112" s="135" t="s">
        <v>72</v>
      </c>
      <c r="K112" s="135"/>
      <c r="L112" s="135" t="s">
        <v>78</v>
      </c>
    </row>
    <row r="113" spans="1:12" ht="28.8" x14ac:dyDescent="0.3">
      <c r="A113" s="134">
        <v>7</v>
      </c>
      <c r="B113" s="135" t="s">
        <v>87</v>
      </c>
      <c r="C113" s="135" t="s">
        <v>88</v>
      </c>
      <c r="D113" s="135" t="s">
        <v>89</v>
      </c>
      <c r="E113" s="296"/>
      <c r="F113" s="137" t="s">
        <v>44</v>
      </c>
      <c r="G113" s="295"/>
      <c r="H113" s="138"/>
      <c r="I113" s="138"/>
      <c r="J113" s="135" t="s">
        <v>47</v>
      </c>
      <c r="K113" s="135"/>
      <c r="L113" s="135" t="s">
        <v>78</v>
      </c>
    </row>
    <row r="114" spans="1:12" ht="28.8" x14ac:dyDescent="0.3">
      <c r="A114" s="134">
        <v>7</v>
      </c>
      <c r="B114" s="135" t="s">
        <v>87</v>
      </c>
      <c r="C114" s="135" t="s">
        <v>88</v>
      </c>
      <c r="D114" s="135" t="s">
        <v>89</v>
      </c>
      <c r="E114" s="296"/>
      <c r="F114" s="137" t="s">
        <v>44</v>
      </c>
      <c r="G114" s="295"/>
      <c r="H114" s="138">
        <v>7.0000000000000007E-2</v>
      </c>
      <c r="I114" s="138" t="s">
        <v>48</v>
      </c>
      <c r="J114" s="135" t="s">
        <v>49</v>
      </c>
      <c r="K114" s="135"/>
      <c r="L114" s="135" t="s">
        <v>78</v>
      </c>
    </row>
    <row r="115" spans="1:12" ht="28.8" x14ac:dyDescent="0.3">
      <c r="A115" s="134">
        <v>7</v>
      </c>
      <c r="B115" s="135" t="s">
        <v>87</v>
      </c>
      <c r="C115" s="135" t="s">
        <v>88</v>
      </c>
      <c r="D115" s="135" t="s">
        <v>89</v>
      </c>
      <c r="E115" s="296"/>
      <c r="F115" s="137" t="s">
        <v>44</v>
      </c>
      <c r="G115" s="295"/>
      <c r="H115" s="138">
        <v>0.04</v>
      </c>
      <c r="I115" s="138"/>
      <c r="J115" s="135" t="s">
        <v>50</v>
      </c>
      <c r="K115" s="135"/>
      <c r="L115" s="135" t="s">
        <v>78</v>
      </c>
    </row>
    <row r="116" spans="1:12" x14ac:dyDescent="0.3">
      <c r="A116" s="134">
        <v>7</v>
      </c>
      <c r="B116" s="135" t="s">
        <v>87</v>
      </c>
      <c r="C116" s="135" t="s">
        <v>88</v>
      </c>
      <c r="D116" s="135" t="s">
        <v>89</v>
      </c>
      <c r="E116" s="294" t="s">
        <v>51</v>
      </c>
      <c r="F116" s="142" t="s">
        <v>51</v>
      </c>
      <c r="G116" s="295">
        <v>0.1</v>
      </c>
      <c r="H116" s="138">
        <v>0.02</v>
      </c>
      <c r="I116" s="138">
        <v>1</v>
      </c>
      <c r="J116" s="135" t="s">
        <v>52</v>
      </c>
      <c r="K116" s="135"/>
      <c r="L116" s="135" t="s">
        <v>78</v>
      </c>
    </row>
    <row r="117" spans="1:12" x14ac:dyDescent="0.3">
      <c r="A117" s="134">
        <v>7</v>
      </c>
      <c r="B117" s="135" t="s">
        <v>87</v>
      </c>
      <c r="C117" s="135" t="s">
        <v>88</v>
      </c>
      <c r="D117" s="135" t="s">
        <v>89</v>
      </c>
      <c r="E117" s="294"/>
      <c r="F117" s="142" t="s">
        <v>51</v>
      </c>
      <c r="G117" s="295"/>
      <c r="H117" s="138">
        <v>7.0000000000000007E-2</v>
      </c>
      <c r="I117" s="138">
        <v>1</v>
      </c>
      <c r="J117" s="135" t="s">
        <v>53</v>
      </c>
      <c r="K117" s="135"/>
      <c r="L117" s="135" t="s">
        <v>78</v>
      </c>
    </row>
    <row r="118" spans="1:12" x14ac:dyDescent="0.3">
      <c r="A118" s="134">
        <v>7</v>
      </c>
      <c r="B118" s="135" t="s">
        <v>87</v>
      </c>
      <c r="C118" s="135" t="s">
        <v>88</v>
      </c>
      <c r="D118" s="135" t="s">
        <v>89</v>
      </c>
      <c r="E118" s="294"/>
      <c r="F118" s="142" t="s">
        <v>51</v>
      </c>
      <c r="G118" s="295"/>
      <c r="H118" s="138">
        <v>0.01</v>
      </c>
      <c r="I118" s="138">
        <v>1</v>
      </c>
      <c r="J118" s="135" t="s">
        <v>54</v>
      </c>
      <c r="K118" s="135"/>
      <c r="L118" s="135" t="s">
        <v>78</v>
      </c>
    </row>
    <row r="119" spans="1:12" x14ac:dyDescent="0.3">
      <c r="A119" s="134">
        <v>7</v>
      </c>
      <c r="B119" s="135" t="s">
        <v>87</v>
      </c>
      <c r="C119" s="135" t="s">
        <v>88</v>
      </c>
      <c r="D119" s="135" t="s">
        <v>89</v>
      </c>
      <c r="E119" s="294" t="s">
        <v>55</v>
      </c>
      <c r="F119" s="142" t="s">
        <v>55</v>
      </c>
      <c r="G119" s="295">
        <v>0.1</v>
      </c>
      <c r="H119" s="138">
        <v>7.4999999999999997E-2</v>
      </c>
      <c r="I119" s="138">
        <v>0.85</v>
      </c>
      <c r="J119" s="135" t="s">
        <v>56</v>
      </c>
      <c r="K119" s="135"/>
      <c r="L119" s="135" t="s">
        <v>78</v>
      </c>
    </row>
    <row r="120" spans="1:12" x14ac:dyDescent="0.3">
      <c r="A120" s="134">
        <v>7</v>
      </c>
      <c r="B120" s="135" t="s">
        <v>87</v>
      </c>
      <c r="C120" s="135" t="s">
        <v>88</v>
      </c>
      <c r="D120" s="135" t="s">
        <v>89</v>
      </c>
      <c r="E120" s="294"/>
      <c r="F120" s="142" t="s">
        <v>55</v>
      </c>
      <c r="G120" s="295"/>
      <c r="H120" s="138">
        <v>2.5000000000000001E-2</v>
      </c>
      <c r="I120" s="138">
        <v>0.04</v>
      </c>
      <c r="J120" s="135" t="s">
        <v>57</v>
      </c>
      <c r="K120" s="135"/>
      <c r="L120" s="135" t="s">
        <v>78</v>
      </c>
    </row>
    <row r="121" spans="1:12" ht="14.55" customHeight="1" x14ac:dyDescent="0.3">
      <c r="A121" s="134">
        <v>7</v>
      </c>
      <c r="B121" s="135" t="s">
        <v>87</v>
      </c>
      <c r="C121" s="135" t="s">
        <v>88</v>
      </c>
      <c r="D121" s="135" t="s">
        <v>89</v>
      </c>
      <c r="E121" s="294" t="s">
        <v>58</v>
      </c>
      <c r="F121" s="142" t="s">
        <v>58</v>
      </c>
      <c r="G121" s="295">
        <v>0.05</v>
      </c>
      <c r="H121" s="138">
        <v>0.02</v>
      </c>
      <c r="I121" s="138">
        <v>1</v>
      </c>
      <c r="J121" s="135" t="s">
        <v>59</v>
      </c>
      <c r="K121" s="135"/>
      <c r="L121" s="135" t="s">
        <v>78</v>
      </c>
    </row>
    <row r="122" spans="1:12" ht="28.8" x14ac:dyDescent="0.3">
      <c r="A122" s="134">
        <v>7</v>
      </c>
      <c r="B122" s="135" t="s">
        <v>87</v>
      </c>
      <c r="C122" s="135" t="s">
        <v>88</v>
      </c>
      <c r="D122" s="135" t="s">
        <v>89</v>
      </c>
      <c r="E122" s="294"/>
      <c r="F122" s="142" t="s">
        <v>58</v>
      </c>
      <c r="G122" s="295"/>
      <c r="H122" s="138">
        <v>0.02</v>
      </c>
      <c r="I122" s="138">
        <v>1</v>
      </c>
      <c r="J122" s="135" t="s">
        <v>60</v>
      </c>
      <c r="K122" s="135"/>
      <c r="L122" s="135" t="s">
        <v>78</v>
      </c>
    </row>
    <row r="123" spans="1:12" ht="28.8" x14ac:dyDescent="0.3">
      <c r="A123" s="134">
        <v>7</v>
      </c>
      <c r="B123" s="135" t="s">
        <v>87</v>
      </c>
      <c r="C123" s="135" t="s">
        <v>88</v>
      </c>
      <c r="D123" s="135" t="s">
        <v>89</v>
      </c>
      <c r="E123" s="294"/>
      <c r="F123" s="142" t="s">
        <v>58</v>
      </c>
      <c r="G123" s="295"/>
      <c r="H123" s="138">
        <v>0.01</v>
      </c>
      <c r="I123" s="138" t="s">
        <v>61</v>
      </c>
      <c r="J123" s="135" t="s">
        <v>62</v>
      </c>
      <c r="K123" s="135"/>
      <c r="L123" s="135" t="s">
        <v>78</v>
      </c>
    </row>
    <row r="124" spans="1:12" ht="14.55" customHeight="1" x14ac:dyDescent="0.3">
      <c r="A124" s="134">
        <v>7</v>
      </c>
      <c r="B124" s="135" t="s">
        <v>87</v>
      </c>
      <c r="C124" s="135" t="s">
        <v>88</v>
      </c>
      <c r="D124" s="135" t="s">
        <v>89</v>
      </c>
      <c r="E124" s="294" t="s">
        <v>63</v>
      </c>
      <c r="F124" s="142" t="s">
        <v>63</v>
      </c>
      <c r="G124" s="295">
        <v>0.05</v>
      </c>
      <c r="H124" s="138">
        <v>0.02</v>
      </c>
      <c r="I124" s="138">
        <v>1</v>
      </c>
      <c r="J124" s="135" t="s">
        <v>64</v>
      </c>
      <c r="K124" s="135"/>
      <c r="L124" s="135" t="s">
        <v>78</v>
      </c>
    </row>
    <row r="125" spans="1:12" ht="28.8" x14ac:dyDescent="0.3">
      <c r="A125" s="134">
        <v>7</v>
      </c>
      <c r="B125" s="135" t="s">
        <v>87</v>
      </c>
      <c r="C125" s="135" t="s">
        <v>88</v>
      </c>
      <c r="D125" s="135" t="s">
        <v>89</v>
      </c>
      <c r="E125" s="294"/>
      <c r="F125" s="142" t="s">
        <v>63</v>
      </c>
      <c r="G125" s="295"/>
      <c r="H125" s="138">
        <v>0.01</v>
      </c>
      <c r="I125" s="138">
        <v>0</v>
      </c>
      <c r="J125" s="135" t="s">
        <v>65</v>
      </c>
      <c r="K125" s="135"/>
      <c r="L125" s="135" t="s">
        <v>78</v>
      </c>
    </row>
    <row r="126" spans="1:12" ht="28.8" x14ac:dyDescent="0.3">
      <c r="A126" s="134">
        <v>7</v>
      </c>
      <c r="B126" s="135" t="s">
        <v>87</v>
      </c>
      <c r="C126" s="135" t="s">
        <v>88</v>
      </c>
      <c r="D126" s="135" t="s">
        <v>89</v>
      </c>
      <c r="E126" s="294"/>
      <c r="F126" s="142" t="s">
        <v>63</v>
      </c>
      <c r="G126" s="295"/>
      <c r="H126" s="138">
        <v>0.01</v>
      </c>
      <c r="I126" s="138" t="s">
        <v>61</v>
      </c>
      <c r="J126" s="135" t="s">
        <v>66</v>
      </c>
      <c r="K126" s="135"/>
      <c r="L126" s="135" t="s">
        <v>78</v>
      </c>
    </row>
    <row r="127" spans="1:12" ht="28.8" x14ac:dyDescent="0.3">
      <c r="A127" s="134">
        <v>7</v>
      </c>
      <c r="B127" s="135" t="s">
        <v>87</v>
      </c>
      <c r="C127" s="135" t="s">
        <v>88</v>
      </c>
      <c r="D127" s="135" t="s">
        <v>89</v>
      </c>
      <c r="E127" s="294"/>
      <c r="F127" s="142" t="s">
        <v>63</v>
      </c>
      <c r="G127" s="295"/>
      <c r="H127" s="138">
        <v>0.01</v>
      </c>
      <c r="I127" s="138" t="s">
        <v>67</v>
      </c>
      <c r="J127" s="135" t="s">
        <v>68</v>
      </c>
      <c r="K127" s="135"/>
      <c r="L127" s="135" t="s">
        <v>78</v>
      </c>
    </row>
    <row r="128" spans="1:12" ht="14.55" customHeight="1" x14ac:dyDescent="0.3">
      <c r="A128" s="143">
        <v>8</v>
      </c>
      <c r="B128" s="144" t="s">
        <v>90</v>
      </c>
      <c r="C128" s="144" t="s">
        <v>91</v>
      </c>
      <c r="D128" s="144" t="s">
        <v>92</v>
      </c>
      <c r="E128" s="304" t="s">
        <v>93</v>
      </c>
      <c r="F128" s="161" t="s">
        <v>93</v>
      </c>
      <c r="G128" s="305">
        <v>0.25</v>
      </c>
      <c r="H128" s="147">
        <v>0.1</v>
      </c>
      <c r="I128" s="144"/>
      <c r="J128" s="143" t="s">
        <v>94</v>
      </c>
      <c r="K128" s="143"/>
      <c r="L128" s="144" t="s">
        <v>140</v>
      </c>
    </row>
    <row r="129" spans="1:12" ht="28.8" x14ac:dyDescent="0.3">
      <c r="A129" s="143">
        <v>8</v>
      </c>
      <c r="B129" s="144" t="s">
        <v>90</v>
      </c>
      <c r="C129" s="144" t="s">
        <v>91</v>
      </c>
      <c r="D129" s="144" t="s">
        <v>92</v>
      </c>
      <c r="E129" s="304"/>
      <c r="F129" s="161" t="s">
        <v>93</v>
      </c>
      <c r="G129" s="305"/>
      <c r="H129" s="147">
        <v>0.15</v>
      </c>
      <c r="I129" s="144"/>
      <c r="J129" s="155" t="s">
        <v>95</v>
      </c>
      <c r="K129" s="155"/>
      <c r="L129" s="144" t="s">
        <v>140</v>
      </c>
    </row>
    <row r="130" spans="1:12" ht="14.55" customHeight="1" x14ac:dyDescent="0.3">
      <c r="A130" s="143">
        <v>8</v>
      </c>
      <c r="B130" s="144" t="s">
        <v>90</v>
      </c>
      <c r="C130" s="144" t="s">
        <v>91</v>
      </c>
      <c r="D130" s="144" t="s">
        <v>92</v>
      </c>
      <c r="E130" s="304" t="s">
        <v>96</v>
      </c>
      <c r="F130" s="161" t="s">
        <v>96</v>
      </c>
      <c r="G130" s="305">
        <v>0.25</v>
      </c>
      <c r="H130" s="147">
        <v>0.15</v>
      </c>
      <c r="I130" s="144"/>
      <c r="J130" s="143" t="s">
        <v>97</v>
      </c>
      <c r="K130" s="143"/>
      <c r="L130" s="144" t="s">
        <v>140</v>
      </c>
    </row>
    <row r="131" spans="1:12" ht="14.55" customHeight="1" x14ac:dyDescent="0.3">
      <c r="A131" s="143">
        <v>8</v>
      </c>
      <c r="B131" s="144" t="s">
        <v>90</v>
      </c>
      <c r="C131" s="144" t="s">
        <v>91</v>
      </c>
      <c r="D131" s="144" t="s">
        <v>92</v>
      </c>
      <c r="E131" s="304" t="s">
        <v>96</v>
      </c>
      <c r="F131" s="161" t="s">
        <v>96</v>
      </c>
      <c r="G131" s="305"/>
      <c r="H131" s="147">
        <v>0.1</v>
      </c>
      <c r="I131" s="144"/>
      <c r="J131" s="156" t="s">
        <v>98</v>
      </c>
      <c r="K131" s="155"/>
      <c r="L131" s="144" t="s">
        <v>140</v>
      </c>
    </row>
    <row r="132" spans="1:12" ht="14.55" customHeight="1" x14ac:dyDescent="0.3">
      <c r="A132" s="143">
        <v>8</v>
      </c>
      <c r="B132" s="144" t="s">
        <v>90</v>
      </c>
      <c r="C132" s="144" t="s">
        <v>91</v>
      </c>
      <c r="D132" s="144" t="s">
        <v>92</v>
      </c>
      <c r="E132" s="304" t="s">
        <v>99</v>
      </c>
      <c r="F132" s="161" t="s">
        <v>99</v>
      </c>
      <c r="G132" s="305">
        <v>0.15</v>
      </c>
      <c r="H132" s="147">
        <v>0.05</v>
      </c>
      <c r="I132" s="144"/>
      <c r="J132" s="143" t="s">
        <v>100</v>
      </c>
      <c r="K132" s="143"/>
      <c r="L132" s="144" t="s">
        <v>140</v>
      </c>
    </row>
    <row r="133" spans="1:12" ht="28.8" x14ac:dyDescent="0.3">
      <c r="A133" s="143">
        <v>8</v>
      </c>
      <c r="B133" s="144" t="s">
        <v>90</v>
      </c>
      <c r="C133" s="144" t="s">
        <v>91</v>
      </c>
      <c r="D133" s="144" t="s">
        <v>92</v>
      </c>
      <c r="E133" s="304"/>
      <c r="F133" s="161" t="s">
        <v>99</v>
      </c>
      <c r="G133" s="305"/>
      <c r="H133" s="147">
        <v>0.05</v>
      </c>
      <c r="I133" s="144"/>
      <c r="J133" s="143" t="s">
        <v>101</v>
      </c>
      <c r="K133" s="143"/>
      <c r="L133" s="144" t="s">
        <v>140</v>
      </c>
    </row>
    <row r="134" spans="1:12" ht="28.8" x14ac:dyDescent="0.3">
      <c r="A134" s="143">
        <v>8</v>
      </c>
      <c r="B134" s="144" t="s">
        <v>90</v>
      </c>
      <c r="C134" s="144" t="s">
        <v>91</v>
      </c>
      <c r="D134" s="144" t="s">
        <v>92</v>
      </c>
      <c r="E134" s="304"/>
      <c r="F134" s="161" t="s">
        <v>99</v>
      </c>
      <c r="G134" s="305"/>
      <c r="H134" s="147">
        <v>0.05</v>
      </c>
      <c r="I134" s="144"/>
      <c r="J134" s="143" t="s">
        <v>102</v>
      </c>
      <c r="K134" s="143"/>
      <c r="L134" s="144" t="s">
        <v>140</v>
      </c>
    </row>
    <row r="135" spans="1:12" ht="14.55" customHeight="1" x14ac:dyDescent="0.3">
      <c r="A135" s="143">
        <v>8</v>
      </c>
      <c r="B135" s="144" t="s">
        <v>90</v>
      </c>
      <c r="C135" s="144" t="s">
        <v>91</v>
      </c>
      <c r="D135" s="144" t="s">
        <v>92</v>
      </c>
      <c r="E135" s="304" t="s">
        <v>103</v>
      </c>
      <c r="F135" s="161" t="s">
        <v>103</v>
      </c>
      <c r="G135" s="305">
        <v>0.35</v>
      </c>
      <c r="H135" s="147">
        <v>0.15</v>
      </c>
      <c r="I135" s="144"/>
      <c r="J135" s="143" t="s">
        <v>104</v>
      </c>
      <c r="K135" s="143"/>
      <c r="L135" s="144" t="s">
        <v>140</v>
      </c>
    </row>
    <row r="136" spans="1:12" ht="28.8" x14ac:dyDescent="0.3">
      <c r="A136" s="143">
        <v>8</v>
      </c>
      <c r="B136" s="144" t="s">
        <v>90</v>
      </c>
      <c r="C136" s="144" t="s">
        <v>91</v>
      </c>
      <c r="D136" s="144" t="s">
        <v>92</v>
      </c>
      <c r="E136" s="304"/>
      <c r="F136" s="161" t="s">
        <v>103</v>
      </c>
      <c r="G136" s="305"/>
      <c r="H136" s="147">
        <v>0.05</v>
      </c>
      <c r="I136" s="144"/>
      <c r="J136" s="143" t="s">
        <v>105</v>
      </c>
      <c r="K136" s="143"/>
      <c r="L136" s="144" t="s">
        <v>140</v>
      </c>
    </row>
    <row r="137" spans="1:12" ht="28.8" x14ac:dyDescent="0.3">
      <c r="A137" s="143">
        <v>8</v>
      </c>
      <c r="B137" s="144" t="s">
        <v>90</v>
      </c>
      <c r="C137" s="144" t="s">
        <v>91</v>
      </c>
      <c r="D137" s="144" t="s">
        <v>92</v>
      </c>
      <c r="E137" s="304"/>
      <c r="F137" s="161" t="s">
        <v>103</v>
      </c>
      <c r="G137" s="305"/>
      <c r="H137" s="147">
        <v>0.1</v>
      </c>
      <c r="I137" s="144"/>
      <c r="J137" s="143" t="s">
        <v>106</v>
      </c>
      <c r="K137" s="143"/>
      <c r="L137" s="144" t="s">
        <v>140</v>
      </c>
    </row>
    <row r="138" spans="1:12" ht="28.8" x14ac:dyDescent="0.3">
      <c r="A138" s="143">
        <v>8</v>
      </c>
      <c r="B138" s="144" t="s">
        <v>90</v>
      </c>
      <c r="C138" s="144" t="s">
        <v>91</v>
      </c>
      <c r="D138" s="144" t="s">
        <v>92</v>
      </c>
      <c r="E138" s="304"/>
      <c r="F138" s="161" t="s">
        <v>103</v>
      </c>
      <c r="G138" s="305"/>
      <c r="H138" s="147">
        <v>0.05</v>
      </c>
      <c r="I138" s="144"/>
      <c r="J138" s="144" t="s">
        <v>107</v>
      </c>
      <c r="K138" s="144"/>
      <c r="L138" s="144" t="s">
        <v>140</v>
      </c>
    </row>
    <row r="139" spans="1:12" ht="28.8" x14ac:dyDescent="0.3">
      <c r="A139" s="134">
        <v>9</v>
      </c>
      <c r="B139" s="157" t="s">
        <v>108</v>
      </c>
      <c r="C139" s="157" t="s">
        <v>109</v>
      </c>
      <c r="D139" s="135" t="s">
        <v>92</v>
      </c>
      <c r="E139" s="158" t="s">
        <v>93</v>
      </c>
      <c r="F139" s="158" t="s">
        <v>93</v>
      </c>
      <c r="G139" s="140">
        <v>0.1</v>
      </c>
      <c r="H139" s="138">
        <v>0.1</v>
      </c>
      <c r="I139" s="135"/>
      <c r="J139" s="134" t="s">
        <v>94</v>
      </c>
      <c r="K139" s="134"/>
      <c r="L139" s="135" t="s">
        <v>117</v>
      </c>
    </row>
    <row r="140" spans="1:12" ht="14.55" customHeight="1" x14ac:dyDescent="0.3">
      <c r="A140" s="134">
        <v>9</v>
      </c>
      <c r="B140" s="157" t="s">
        <v>108</v>
      </c>
      <c r="C140" s="157" t="s">
        <v>109</v>
      </c>
      <c r="D140" s="135" t="s">
        <v>92</v>
      </c>
      <c r="E140" s="296" t="s">
        <v>96</v>
      </c>
      <c r="F140" s="137" t="s">
        <v>96</v>
      </c>
      <c r="G140" s="306">
        <v>0.3</v>
      </c>
      <c r="H140" s="138">
        <v>0.1</v>
      </c>
      <c r="I140" s="135"/>
      <c r="J140" s="156" t="s">
        <v>110</v>
      </c>
      <c r="K140" s="156"/>
      <c r="L140" s="135" t="s">
        <v>117</v>
      </c>
    </row>
    <row r="141" spans="1:12" ht="28.8" x14ac:dyDescent="0.3">
      <c r="A141" s="134">
        <v>9</v>
      </c>
      <c r="B141" s="157" t="s">
        <v>108</v>
      </c>
      <c r="C141" s="157" t="s">
        <v>109</v>
      </c>
      <c r="D141" s="135" t="s">
        <v>92</v>
      </c>
      <c r="E141" s="296"/>
      <c r="F141" s="137" t="s">
        <v>96</v>
      </c>
      <c r="G141" s="306"/>
      <c r="H141" s="138">
        <v>0.1</v>
      </c>
      <c r="I141" s="135"/>
      <c r="J141" s="134" t="s">
        <v>111</v>
      </c>
      <c r="K141" s="134"/>
      <c r="L141" s="135" t="s">
        <v>117</v>
      </c>
    </row>
    <row r="142" spans="1:12" ht="28.8" x14ac:dyDescent="0.3">
      <c r="A142" s="134">
        <v>9</v>
      </c>
      <c r="B142" s="157" t="s">
        <v>108</v>
      </c>
      <c r="C142" s="157" t="s">
        <v>109</v>
      </c>
      <c r="D142" s="135" t="s">
        <v>92</v>
      </c>
      <c r="E142" s="296"/>
      <c r="F142" s="137" t="s">
        <v>96</v>
      </c>
      <c r="G142" s="306"/>
      <c r="H142" s="138">
        <v>0.1</v>
      </c>
      <c r="I142" s="135"/>
      <c r="J142" s="156" t="s">
        <v>98</v>
      </c>
      <c r="K142" s="156"/>
      <c r="L142" s="135" t="s">
        <v>117</v>
      </c>
    </row>
    <row r="143" spans="1:12" ht="14.55" customHeight="1" x14ac:dyDescent="0.3">
      <c r="A143" s="134">
        <v>9</v>
      </c>
      <c r="B143" s="157" t="s">
        <v>108</v>
      </c>
      <c r="C143" s="157" t="s">
        <v>109</v>
      </c>
      <c r="D143" s="135" t="s">
        <v>92</v>
      </c>
      <c r="E143" s="296" t="s">
        <v>99</v>
      </c>
      <c r="F143" s="137" t="s">
        <v>99</v>
      </c>
      <c r="G143" s="306">
        <v>0.25</v>
      </c>
      <c r="H143" s="138">
        <v>0.05</v>
      </c>
      <c r="I143" s="135"/>
      <c r="J143" s="134" t="s">
        <v>100</v>
      </c>
      <c r="K143" s="134"/>
      <c r="L143" s="135" t="s">
        <v>117</v>
      </c>
    </row>
    <row r="144" spans="1:12" ht="28.8" x14ac:dyDescent="0.3">
      <c r="A144" s="134">
        <v>9</v>
      </c>
      <c r="B144" s="157" t="s">
        <v>108</v>
      </c>
      <c r="C144" s="157" t="s">
        <v>109</v>
      </c>
      <c r="D144" s="135" t="s">
        <v>92</v>
      </c>
      <c r="E144" s="296"/>
      <c r="F144" s="137" t="s">
        <v>99</v>
      </c>
      <c r="G144" s="306"/>
      <c r="H144" s="138">
        <v>0.05</v>
      </c>
      <c r="I144" s="135"/>
      <c r="J144" s="134" t="s">
        <v>101</v>
      </c>
      <c r="K144" s="134"/>
      <c r="L144" s="135" t="s">
        <v>117</v>
      </c>
    </row>
    <row r="145" spans="1:12" ht="28.8" x14ac:dyDescent="0.3">
      <c r="A145" s="134">
        <v>9</v>
      </c>
      <c r="B145" s="157" t="s">
        <v>108</v>
      </c>
      <c r="C145" s="157" t="s">
        <v>109</v>
      </c>
      <c r="D145" s="135" t="s">
        <v>92</v>
      </c>
      <c r="E145" s="296"/>
      <c r="F145" s="137" t="s">
        <v>99</v>
      </c>
      <c r="G145" s="306"/>
      <c r="H145" s="138">
        <v>0.1</v>
      </c>
      <c r="I145" s="135"/>
      <c r="J145" s="156" t="s">
        <v>112</v>
      </c>
      <c r="K145" s="156"/>
      <c r="L145" s="135" t="s">
        <v>117</v>
      </c>
    </row>
    <row r="146" spans="1:12" ht="28.8" x14ac:dyDescent="0.3">
      <c r="A146" s="134">
        <v>9</v>
      </c>
      <c r="B146" s="157" t="s">
        <v>108</v>
      </c>
      <c r="C146" s="157" t="s">
        <v>109</v>
      </c>
      <c r="D146" s="135" t="s">
        <v>92</v>
      </c>
      <c r="E146" s="296"/>
      <c r="F146" s="137" t="s">
        <v>99</v>
      </c>
      <c r="G146" s="306"/>
      <c r="H146" s="138">
        <v>0.05</v>
      </c>
      <c r="I146" s="135"/>
      <c r="J146" s="134" t="s">
        <v>102</v>
      </c>
      <c r="K146" s="134"/>
      <c r="L146" s="135" t="s">
        <v>117</v>
      </c>
    </row>
    <row r="147" spans="1:12" ht="14.55" customHeight="1" x14ac:dyDescent="0.3">
      <c r="A147" s="134">
        <v>9</v>
      </c>
      <c r="B147" s="157" t="s">
        <v>108</v>
      </c>
      <c r="C147" s="157" t="s">
        <v>109</v>
      </c>
      <c r="D147" s="135" t="s">
        <v>92</v>
      </c>
      <c r="E147" s="296" t="s">
        <v>103</v>
      </c>
      <c r="F147" s="137" t="s">
        <v>103</v>
      </c>
      <c r="G147" s="140">
        <v>0.15</v>
      </c>
      <c r="H147" s="138">
        <v>0.15</v>
      </c>
      <c r="I147" s="135"/>
      <c r="J147" s="134" t="s">
        <v>104</v>
      </c>
      <c r="K147" s="134"/>
      <c r="L147" s="135" t="s">
        <v>117</v>
      </c>
    </row>
    <row r="148" spans="1:12" ht="28.8" x14ac:dyDescent="0.3">
      <c r="A148" s="134">
        <v>9</v>
      </c>
      <c r="B148" s="157" t="s">
        <v>108</v>
      </c>
      <c r="C148" s="157" t="s">
        <v>109</v>
      </c>
      <c r="D148" s="135" t="s">
        <v>92</v>
      </c>
      <c r="E148" s="296"/>
      <c r="F148" s="137" t="s">
        <v>103</v>
      </c>
      <c r="G148" s="140">
        <v>0.15</v>
      </c>
      <c r="H148" s="138">
        <v>0.15</v>
      </c>
      <c r="I148" s="135"/>
      <c r="J148" s="156" t="s">
        <v>113</v>
      </c>
      <c r="K148" s="156"/>
      <c r="L148" s="135" t="s">
        <v>117</v>
      </c>
    </row>
    <row r="149" spans="1:12" ht="28.8" x14ac:dyDescent="0.3">
      <c r="A149" s="134">
        <v>9</v>
      </c>
      <c r="B149" s="157" t="s">
        <v>108</v>
      </c>
      <c r="C149" s="157" t="s">
        <v>109</v>
      </c>
      <c r="D149" s="135" t="s">
        <v>92</v>
      </c>
      <c r="E149" s="136" t="s">
        <v>114</v>
      </c>
      <c r="F149" s="136" t="s">
        <v>114</v>
      </c>
      <c r="G149" s="140">
        <v>0.1</v>
      </c>
      <c r="H149" s="138">
        <v>0.1</v>
      </c>
      <c r="I149" s="135"/>
      <c r="J149" s="143" t="s">
        <v>115</v>
      </c>
      <c r="K149" s="143"/>
      <c r="L149" s="135" t="s">
        <v>117</v>
      </c>
    </row>
    <row r="150" spans="1:12" ht="14.55" customHeight="1" x14ac:dyDescent="0.3">
      <c r="A150" s="143">
        <v>10</v>
      </c>
      <c r="B150" s="159" t="s">
        <v>116</v>
      </c>
      <c r="C150" s="159" t="s">
        <v>117</v>
      </c>
      <c r="D150" s="144" t="s">
        <v>118</v>
      </c>
      <c r="E150" s="300" t="s">
        <v>93</v>
      </c>
      <c r="F150" s="146" t="s">
        <v>93</v>
      </c>
      <c r="G150" s="300"/>
      <c r="H150" s="147">
        <v>0.1</v>
      </c>
      <c r="I150" s="144"/>
      <c r="J150" s="143" t="s">
        <v>94</v>
      </c>
      <c r="K150" s="143"/>
      <c r="L150" s="144" t="s">
        <v>128</v>
      </c>
    </row>
    <row r="151" spans="1:12" ht="28.8" x14ac:dyDescent="0.3">
      <c r="A151" s="143">
        <v>10</v>
      </c>
      <c r="B151" s="159" t="s">
        <v>116</v>
      </c>
      <c r="C151" s="159" t="s">
        <v>117</v>
      </c>
      <c r="D151" s="144" t="s">
        <v>118</v>
      </c>
      <c r="E151" s="300"/>
      <c r="F151" s="146" t="s">
        <v>93</v>
      </c>
      <c r="G151" s="300"/>
      <c r="H151" s="147">
        <v>0.1</v>
      </c>
      <c r="I151" s="144"/>
      <c r="J151" s="155" t="s">
        <v>95</v>
      </c>
      <c r="K151" s="155"/>
      <c r="L151" s="144" t="s">
        <v>128</v>
      </c>
    </row>
    <row r="152" spans="1:12" ht="28.8" x14ac:dyDescent="0.3">
      <c r="A152" s="143">
        <v>10</v>
      </c>
      <c r="B152" s="159" t="s">
        <v>116</v>
      </c>
      <c r="C152" s="159" t="s">
        <v>117</v>
      </c>
      <c r="D152" s="144" t="s">
        <v>118</v>
      </c>
      <c r="E152" s="300"/>
      <c r="F152" s="146" t="s">
        <v>93</v>
      </c>
      <c r="G152" s="300"/>
      <c r="H152" s="147">
        <v>0.1</v>
      </c>
      <c r="I152" s="144"/>
      <c r="J152" s="155" t="s">
        <v>119</v>
      </c>
      <c r="K152" s="155"/>
      <c r="L152" s="144" t="s">
        <v>128</v>
      </c>
    </row>
    <row r="153" spans="1:12" ht="14.55" customHeight="1" x14ac:dyDescent="0.3">
      <c r="A153" s="143">
        <v>10</v>
      </c>
      <c r="B153" s="159" t="s">
        <v>116</v>
      </c>
      <c r="C153" s="159" t="s">
        <v>117</v>
      </c>
      <c r="D153" s="144" t="s">
        <v>118</v>
      </c>
      <c r="E153" s="300" t="s">
        <v>114</v>
      </c>
      <c r="F153" s="146" t="s">
        <v>114</v>
      </c>
      <c r="G153" s="300"/>
      <c r="H153" s="147">
        <v>0.1</v>
      </c>
      <c r="I153" s="144"/>
      <c r="J153" s="155" t="s">
        <v>120</v>
      </c>
      <c r="K153" s="155"/>
      <c r="L153" s="144" t="s">
        <v>128</v>
      </c>
    </row>
    <row r="154" spans="1:12" ht="14.55" customHeight="1" x14ac:dyDescent="0.3">
      <c r="A154" s="143">
        <v>10</v>
      </c>
      <c r="B154" s="159" t="s">
        <v>116</v>
      </c>
      <c r="C154" s="159" t="s">
        <v>117</v>
      </c>
      <c r="D154" s="144" t="s">
        <v>118</v>
      </c>
      <c r="E154" s="300" t="s">
        <v>114</v>
      </c>
      <c r="F154" s="146" t="s">
        <v>114</v>
      </c>
      <c r="G154" s="300"/>
      <c r="H154" s="147">
        <v>0.1</v>
      </c>
      <c r="I154" s="144"/>
      <c r="J154" s="155" t="s">
        <v>121</v>
      </c>
      <c r="K154" s="155"/>
      <c r="L154" s="144" t="s">
        <v>128</v>
      </c>
    </row>
    <row r="155" spans="1:12" ht="14.55" customHeight="1" x14ac:dyDescent="0.3">
      <c r="A155" s="143">
        <v>10</v>
      </c>
      <c r="B155" s="159" t="s">
        <v>116</v>
      </c>
      <c r="C155" s="159" t="s">
        <v>117</v>
      </c>
      <c r="D155" s="144" t="s">
        <v>118</v>
      </c>
      <c r="E155" s="300" t="s">
        <v>114</v>
      </c>
      <c r="F155" s="146" t="s">
        <v>114</v>
      </c>
      <c r="G155" s="300"/>
      <c r="H155" s="147">
        <v>0.05</v>
      </c>
      <c r="I155" s="144"/>
      <c r="J155" s="143" t="s">
        <v>122</v>
      </c>
      <c r="K155" s="143"/>
      <c r="L155" s="144" t="s">
        <v>128</v>
      </c>
    </row>
    <row r="156" spans="1:12" ht="14.55" customHeight="1" x14ac:dyDescent="0.3">
      <c r="A156" s="143">
        <v>10</v>
      </c>
      <c r="B156" s="159" t="s">
        <v>116</v>
      </c>
      <c r="C156" s="159" t="s">
        <v>117</v>
      </c>
      <c r="D156" s="144" t="s">
        <v>118</v>
      </c>
      <c r="E156" s="300" t="s">
        <v>96</v>
      </c>
      <c r="F156" s="146" t="s">
        <v>96</v>
      </c>
      <c r="G156" s="300"/>
      <c r="H156" s="147">
        <v>0.05</v>
      </c>
      <c r="I156" s="144"/>
      <c r="J156" s="160" t="s">
        <v>123</v>
      </c>
      <c r="K156" s="160"/>
      <c r="L156" s="144" t="s">
        <v>128</v>
      </c>
    </row>
    <row r="157" spans="1:12" ht="28.8" x14ac:dyDescent="0.3">
      <c r="A157" s="143">
        <v>10</v>
      </c>
      <c r="B157" s="159" t="s">
        <v>116</v>
      </c>
      <c r="C157" s="159" t="s">
        <v>117</v>
      </c>
      <c r="D157" s="144" t="s">
        <v>118</v>
      </c>
      <c r="E157" s="300"/>
      <c r="F157" s="146" t="s">
        <v>96</v>
      </c>
      <c r="G157" s="300"/>
      <c r="H157" s="147">
        <v>0.05</v>
      </c>
      <c r="I157" s="144"/>
      <c r="J157" s="143" t="s">
        <v>124</v>
      </c>
      <c r="K157" s="143"/>
      <c r="L157" s="144" t="s">
        <v>128</v>
      </c>
    </row>
    <row r="158" spans="1:12" ht="14.55" customHeight="1" x14ac:dyDescent="0.3">
      <c r="A158" s="143">
        <v>10</v>
      </c>
      <c r="B158" s="159" t="s">
        <v>116</v>
      </c>
      <c r="C158" s="159" t="s">
        <v>117</v>
      </c>
      <c r="D158" s="144" t="s">
        <v>118</v>
      </c>
      <c r="E158" s="300" t="s">
        <v>99</v>
      </c>
      <c r="F158" s="146" t="s">
        <v>99</v>
      </c>
      <c r="G158" s="300"/>
      <c r="H158" s="147">
        <v>0.05</v>
      </c>
      <c r="I158" s="144"/>
      <c r="J158" s="143" t="s">
        <v>100</v>
      </c>
      <c r="K158" s="143"/>
      <c r="L158" s="144" t="s">
        <v>128</v>
      </c>
    </row>
    <row r="159" spans="1:12" ht="28.8" x14ac:dyDescent="0.3">
      <c r="A159" s="143">
        <v>10</v>
      </c>
      <c r="B159" s="159" t="s">
        <v>116</v>
      </c>
      <c r="C159" s="159" t="s">
        <v>117</v>
      </c>
      <c r="D159" s="144" t="s">
        <v>118</v>
      </c>
      <c r="E159" s="300"/>
      <c r="F159" s="146" t="s">
        <v>99</v>
      </c>
      <c r="G159" s="300"/>
      <c r="H159" s="147">
        <v>0.05</v>
      </c>
      <c r="I159" s="144"/>
      <c r="J159" s="143" t="s">
        <v>101</v>
      </c>
      <c r="K159" s="143"/>
      <c r="L159" s="144" t="s">
        <v>128</v>
      </c>
    </row>
    <row r="160" spans="1:12" ht="28.8" x14ac:dyDescent="0.3">
      <c r="A160" s="143">
        <v>10</v>
      </c>
      <c r="B160" s="159" t="s">
        <v>116</v>
      </c>
      <c r="C160" s="159" t="s">
        <v>117</v>
      </c>
      <c r="D160" s="144" t="s">
        <v>118</v>
      </c>
      <c r="E160" s="300"/>
      <c r="F160" s="146" t="s">
        <v>99</v>
      </c>
      <c r="G160" s="300"/>
      <c r="H160" s="147">
        <v>0.1</v>
      </c>
      <c r="I160" s="144"/>
      <c r="J160" s="155" t="s">
        <v>125</v>
      </c>
      <c r="K160" s="155"/>
      <c r="L160" s="144" t="s">
        <v>128</v>
      </c>
    </row>
    <row r="161" spans="1:12" ht="28.8" x14ac:dyDescent="0.3">
      <c r="A161" s="143">
        <v>10</v>
      </c>
      <c r="B161" s="159" t="s">
        <v>116</v>
      </c>
      <c r="C161" s="159" t="s">
        <v>117</v>
      </c>
      <c r="D161" s="144" t="s">
        <v>118</v>
      </c>
      <c r="E161" s="300"/>
      <c r="F161" s="146" t="s">
        <v>99</v>
      </c>
      <c r="G161" s="300"/>
      <c r="H161" s="147">
        <v>0.05</v>
      </c>
      <c r="I161" s="144"/>
      <c r="J161" s="143" t="s">
        <v>102</v>
      </c>
      <c r="K161" s="143"/>
      <c r="L161" s="144" t="s">
        <v>128</v>
      </c>
    </row>
    <row r="162" spans="1:12" x14ac:dyDescent="0.3">
      <c r="A162" s="143">
        <v>10</v>
      </c>
      <c r="B162" s="159" t="s">
        <v>116</v>
      </c>
      <c r="C162" s="159" t="s">
        <v>117</v>
      </c>
      <c r="D162" s="144" t="s">
        <v>118</v>
      </c>
      <c r="E162" s="161" t="s">
        <v>126</v>
      </c>
      <c r="F162" s="161" t="s">
        <v>126</v>
      </c>
      <c r="G162" s="161"/>
      <c r="H162" s="147">
        <v>0.1</v>
      </c>
      <c r="I162" s="144"/>
      <c r="J162" s="155" t="s">
        <v>127</v>
      </c>
      <c r="K162" s="155"/>
      <c r="L162" s="144" t="s">
        <v>128</v>
      </c>
    </row>
    <row r="163" spans="1:12" ht="28.8" x14ac:dyDescent="0.3">
      <c r="A163" s="134">
        <v>11</v>
      </c>
      <c r="B163" s="135" t="s">
        <v>16</v>
      </c>
      <c r="C163" s="135" t="s">
        <v>128</v>
      </c>
      <c r="D163" s="135" t="s">
        <v>129</v>
      </c>
      <c r="E163" s="136" t="s">
        <v>130</v>
      </c>
      <c r="F163" s="136" t="s">
        <v>130</v>
      </c>
      <c r="G163" s="162">
        <v>0.2</v>
      </c>
      <c r="H163" s="138">
        <v>0.2</v>
      </c>
      <c r="I163" s="135"/>
      <c r="J163" s="134" t="s">
        <v>131</v>
      </c>
      <c r="K163" s="134"/>
      <c r="L163" s="135" t="s">
        <v>966</v>
      </c>
    </row>
    <row r="164" spans="1:12" ht="14.55" customHeight="1" x14ac:dyDescent="0.3">
      <c r="A164" s="134">
        <v>11</v>
      </c>
      <c r="B164" s="135" t="s">
        <v>16</v>
      </c>
      <c r="C164" s="135" t="s">
        <v>128</v>
      </c>
      <c r="D164" s="135" t="s">
        <v>129</v>
      </c>
      <c r="E164" s="296" t="s">
        <v>93</v>
      </c>
      <c r="F164" s="137" t="s">
        <v>93</v>
      </c>
      <c r="G164" s="307">
        <v>0.2</v>
      </c>
      <c r="H164" s="138">
        <v>0.1</v>
      </c>
      <c r="I164" s="135"/>
      <c r="J164" s="134" t="s">
        <v>94</v>
      </c>
      <c r="K164" s="134"/>
      <c r="L164" s="135" t="s">
        <v>966</v>
      </c>
    </row>
    <row r="165" spans="1:12" ht="28.8" x14ac:dyDescent="0.3">
      <c r="A165" s="134">
        <v>11</v>
      </c>
      <c r="B165" s="135" t="s">
        <v>16</v>
      </c>
      <c r="C165" s="135" t="s">
        <v>128</v>
      </c>
      <c r="D165" s="135" t="s">
        <v>129</v>
      </c>
      <c r="E165" s="296"/>
      <c r="F165" s="137" t="s">
        <v>93</v>
      </c>
      <c r="G165" s="308"/>
      <c r="H165" s="138">
        <v>0.03</v>
      </c>
      <c r="I165" s="135"/>
      <c r="J165" s="156" t="s">
        <v>95</v>
      </c>
      <c r="K165" s="156"/>
      <c r="L165" s="135" t="s">
        <v>966</v>
      </c>
    </row>
    <row r="166" spans="1:12" ht="28.8" x14ac:dyDescent="0.3">
      <c r="A166" s="134">
        <v>11</v>
      </c>
      <c r="B166" s="135" t="s">
        <v>16</v>
      </c>
      <c r="C166" s="135" t="s">
        <v>128</v>
      </c>
      <c r="D166" s="135" t="s">
        <v>129</v>
      </c>
      <c r="E166" s="296"/>
      <c r="F166" s="137" t="s">
        <v>93</v>
      </c>
      <c r="G166" s="308"/>
      <c r="H166" s="138">
        <v>0.02</v>
      </c>
      <c r="I166" s="135"/>
      <c r="J166" s="156" t="s">
        <v>132</v>
      </c>
      <c r="K166" s="156"/>
      <c r="L166" s="135" t="s">
        <v>966</v>
      </c>
    </row>
    <row r="167" spans="1:12" ht="28.8" x14ac:dyDescent="0.3">
      <c r="A167" s="134">
        <v>11</v>
      </c>
      <c r="B167" s="135" t="s">
        <v>16</v>
      </c>
      <c r="C167" s="135" t="s">
        <v>128</v>
      </c>
      <c r="D167" s="135" t="s">
        <v>129</v>
      </c>
      <c r="E167" s="296"/>
      <c r="F167" s="137" t="s">
        <v>93</v>
      </c>
      <c r="G167" s="308"/>
      <c r="H167" s="138">
        <v>0.05</v>
      </c>
      <c r="I167" s="135"/>
      <c r="J167" s="156" t="s">
        <v>119</v>
      </c>
      <c r="K167" s="156"/>
      <c r="L167" s="135" t="s">
        <v>966</v>
      </c>
    </row>
    <row r="168" spans="1:12" ht="14.55" customHeight="1" x14ac:dyDescent="0.3">
      <c r="A168" s="134">
        <v>11</v>
      </c>
      <c r="B168" s="135" t="s">
        <v>16</v>
      </c>
      <c r="C168" s="135" t="s">
        <v>128</v>
      </c>
      <c r="D168" s="135" t="s">
        <v>129</v>
      </c>
      <c r="E168" s="296" t="s">
        <v>114</v>
      </c>
      <c r="F168" s="137" t="s">
        <v>114</v>
      </c>
      <c r="G168" s="295">
        <v>0.2</v>
      </c>
      <c r="H168" s="138">
        <v>0.04</v>
      </c>
      <c r="I168" s="135"/>
      <c r="J168" s="156" t="s">
        <v>120</v>
      </c>
      <c r="K168" s="156"/>
      <c r="L168" s="135" t="s">
        <v>966</v>
      </c>
    </row>
    <row r="169" spans="1:12" ht="28.8" x14ac:dyDescent="0.3">
      <c r="A169" s="134">
        <v>11</v>
      </c>
      <c r="B169" s="135" t="s">
        <v>16</v>
      </c>
      <c r="C169" s="135" t="s">
        <v>128</v>
      </c>
      <c r="D169" s="135" t="s">
        <v>129</v>
      </c>
      <c r="E169" s="296"/>
      <c r="F169" s="137" t="s">
        <v>114</v>
      </c>
      <c r="G169" s="295"/>
      <c r="H169" s="138">
        <v>0.06</v>
      </c>
      <c r="I169" s="135"/>
      <c r="J169" s="156" t="s">
        <v>121</v>
      </c>
      <c r="K169" s="156"/>
      <c r="L169" s="135" t="s">
        <v>966</v>
      </c>
    </row>
    <row r="170" spans="1:12" ht="28.8" x14ac:dyDescent="0.3">
      <c r="A170" s="134">
        <v>11</v>
      </c>
      <c r="B170" s="135" t="s">
        <v>16</v>
      </c>
      <c r="C170" s="135" t="s">
        <v>128</v>
      </c>
      <c r="D170" s="135" t="s">
        <v>129</v>
      </c>
      <c r="E170" s="296"/>
      <c r="F170" s="137" t="s">
        <v>114</v>
      </c>
      <c r="G170" s="295"/>
      <c r="H170" s="138">
        <v>0.04</v>
      </c>
      <c r="I170" s="135"/>
      <c r="J170" s="134" t="s">
        <v>122</v>
      </c>
      <c r="K170" s="134"/>
      <c r="L170" s="135" t="s">
        <v>966</v>
      </c>
    </row>
    <row r="171" spans="1:12" ht="28.8" x14ac:dyDescent="0.3">
      <c r="A171" s="134">
        <v>11</v>
      </c>
      <c r="B171" s="135" t="s">
        <v>16</v>
      </c>
      <c r="C171" s="135" t="s">
        <v>128</v>
      </c>
      <c r="D171" s="135" t="s">
        <v>129</v>
      </c>
      <c r="E171" s="296"/>
      <c r="F171" s="137" t="s">
        <v>114</v>
      </c>
      <c r="G171" s="295"/>
      <c r="H171" s="138">
        <v>0.04</v>
      </c>
      <c r="I171" s="135"/>
      <c r="J171" s="156" t="s">
        <v>133</v>
      </c>
      <c r="K171" s="156"/>
      <c r="L171" s="135" t="s">
        <v>966</v>
      </c>
    </row>
    <row r="172" spans="1:12" ht="28.8" x14ac:dyDescent="0.3">
      <c r="A172" s="134">
        <v>11</v>
      </c>
      <c r="B172" s="135" t="s">
        <v>16</v>
      </c>
      <c r="C172" s="135" t="s">
        <v>128</v>
      </c>
      <c r="D172" s="135" t="s">
        <v>129</v>
      </c>
      <c r="E172" s="296"/>
      <c r="F172" s="137" t="s">
        <v>114</v>
      </c>
      <c r="G172" s="295"/>
      <c r="H172" s="138">
        <v>0.02</v>
      </c>
      <c r="I172" s="135"/>
      <c r="J172" s="156" t="s">
        <v>134</v>
      </c>
      <c r="K172" s="156"/>
      <c r="L172" s="135" t="s">
        <v>966</v>
      </c>
    </row>
    <row r="173" spans="1:12" ht="14.55" customHeight="1" x14ac:dyDescent="0.3">
      <c r="A173" s="134">
        <v>11</v>
      </c>
      <c r="B173" s="135" t="s">
        <v>16</v>
      </c>
      <c r="C173" s="135" t="s">
        <v>128</v>
      </c>
      <c r="D173" s="135" t="s">
        <v>129</v>
      </c>
      <c r="E173" s="296" t="s">
        <v>96</v>
      </c>
      <c r="F173" s="137" t="s">
        <v>96</v>
      </c>
      <c r="G173" s="307">
        <v>0.15</v>
      </c>
      <c r="H173" s="138">
        <v>0.04</v>
      </c>
      <c r="I173" s="135"/>
      <c r="J173" s="156" t="s">
        <v>110</v>
      </c>
      <c r="K173" s="156"/>
      <c r="L173" s="135" t="s">
        <v>966</v>
      </c>
    </row>
    <row r="174" spans="1:12" ht="28.8" x14ac:dyDescent="0.3">
      <c r="A174" s="134">
        <v>11</v>
      </c>
      <c r="B174" s="135" t="s">
        <v>16</v>
      </c>
      <c r="C174" s="135" t="s">
        <v>128</v>
      </c>
      <c r="D174" s="135" t="s">
        <v>129</v>
      </c>
      <c r="E174" s="296"/>
      <c r="F174" s="137" t="s">
        <v>96</v>
      </c>
      <c r="G174" s="308"/>
      <c r="H174" s="138">
        <v>0.03</v>
      </c>
      <c r="I174" s="135"/>
      <c r="J174" s="134" t="s">
        <v>97</v>
      </c>
      <c r="K174" s="134"/>
      <c r="L174" s="135" t="s">
        <v>966</v>
      </c>
    </row>
    <row r="175" spans="1:12" ht="28.8" x14ac:dyDescent="0.3">
      <c r="A175" s="134">
        <v>11</v>
      </c>
      <c r="B175" s="135" t="s">
        <v>16</v>
      </c>
      <c r="C175" s="135" t="s">
        <v>128</v>
      </c>
      <c r="D175" s="135" t="s">
        <v>129</v>
      </c>
      <c r="E175" s="296"/>
      <c r="F175" s="137" t="s">
        <v>96</v>
      </c>
      <c r="G175" s="308"/>
      <c r="H175" s="138">
        <v>0.02</v>
      </c>
      <c r="I175" s="135"/>
      <c r="J175" s="156" t="s">
        <v>98</v>
      </c>
      <c r="K175" s="156"/>
      <c r="L175" s="135" t="s">
        <v>966</v>
      </c>
    </row>
    <row r="176" spans="1:12" ht="28.8" x14ac:dyDescent="0.3">
      <c r="A176" s="134">
        <v>11</v>
      </c>
      <c r="B176" s="135" t="s">
        <v>16</v>
      </c>
      <c r="C176" s="135" t="s">
        <v>128</v>
      </c>
      <c r="D176" s="135" t="s">
        <v>129</v>
      </c>
      <c r="E176" s="296"/>
      <c r="F176" s="137" t="s">
        <v>96</v>
      </c>
      <c r="G176" s="308"/>
      <c r="H176" s="138">
        <v>0.03</v>
      </c>
      <c r="I176" s="135"/>
      <c r="J176" s="156" t="s">
        <v>123</v>
      </c>
      <c r="K176" s="156"/>
      <c r="L176" s="135" t="s">
        <v>966</v>
      </c>
    </row>
    <row r="177" spans="1:12" ht="28.8" x14ac:dyDescent="0.3">
      <c r="A177" s="134">
        <v>11</v>
      </c>
      <c r="B177" s="135" t="s">
        <v>16</v>
      </c>
      <c r="C177" s="135" t="s">
        <v>128</v>
      </c>
      <c r="D177" s="135" t="s">
        <v>129</v>
      </c>
      <c r="E177" s="296"/>
      <c r="F177" s="137" t="s">
        <v>96</v>
      </c>
      <c r="G177" s="308"/>
      <c r="H177" s="138">
        <v>0.03</v>
      </c>
      <c r="I177" s="135"/>
      <c r="J177" s="134" t="s">
        <v>124</v>
      </c>
      <c r="K177" s="134"/>
      <c r="L177" s="135" t="s">
        <v>966</v>
      </c>
    </row>
    <row r="178" spans="1:12" ht="14.55" customHeight="1" x14ac:dyDescent="0.3">
      <c r="A178" s="134">
        <v>11</v>
      </c>
      <c r="B178" s="135" t="s">
        <v>16</v>
      </c>
      <c r="C178" s="135" t="s">
        <v>128</v>
      </c>
      <c r="D178" s="135" t="s">
        <v>129</v>
      </c>
      <c r="E178" s="296" t="s">
        <v>99</v>
      </c>
      <c r="F178" s="137" t="s">
        <v>99</v>
      </c>
      <c r="G178" s="307">
        <v>0.15</v>
      </c>
      <c r="H178" s="163">
        <v>0.02</v>
      </c>
      <c r="I178" s="135"/>
      <c r="J178" s="134" t="s">
        <v>100</v>
      </c>
      <c r="K178" s="134"/>
      <c r="L178" s="135" t="s">
        <v>966</v>
      </c>
    </row>
    <row r="179" spans="1:12" ht="28.8" x14ac:dyDescent="0.3">
      <c r="A179" s="134">
        <v>11</v>
      </c>
      <c r="B179" s="135" t="s">
        <v>16</v>
      </c>
      <c r="C179" s="135" t="s">
        <v>128</v>
      </c>
      <c r="D179" s="135" t="s">
        <v>129</v>
      </c>
      <c r="E179" s="296"/>
      <c r="F179" s="137" t="s">
        <v>99</v>
      </c>
      <c r="G179" s="308"/>
      <c r="H179" s="163">
        <v>0.02</v>
      </c>
      <c r="I179" s="135"/>
      <c r="J179" s="134" t="s">
        <v>101</v>
      </c>
      <c r="K179" s="134"/>
      <c r="L179" s="135" t="s">
        <v>966</v>
      </c>
    </row>
    <row r="180" spans="1:12" ht="28.8" x14ac:dyDescent="0.3">
      <c r="A180" s="134">
        <v>11</v>
      </c>
      <c r="B180" s="135" t="s">
        <v>16</v>
      </c>
      <c r="C180" s="135" t="s">
        <v>128</v>
      </c>
      <c r="D180" s="135" t="s">
        <v>129</v>
      </c>
      <c r="E180" s="296"/>
      <c r="F180" s="137" t="s">
        <v>99</v>
      </c>
      <c r="G180" s="308"/>
      <c r="H180" s="138">
        <v>0.05</v>
      </c>
      <c r="I180" s="135"/>
      <c r="J180" s="156" t="s">
        <v>125</v>
      </c>
      <c r="K180" s="156"/>
      <c r="L180" s="135" t="s">
        <v>966</v>
      </c>
    </row>
    <row r="181" spans="1:12" ht="28.8" x14ac:dyDescent="0.3">
      <c r="A181" s="134">
        <v>11</v>
      </c>
      <c r="B181" s="135" t="s">
        <v>16</v>
      </c>
      <c r="C181" s="135" t="s">
        <v>128</v>
      </c>
      <c r="D181" s="135" t="s">
        <v>129</v>
      </c>
      <c r="E181" s="296"/>
      <c r="F181" s="137" t="s">
        <v>99</v>
      </c>
      <c r="G181" s="308"/>
      <c r="H181" s="138">
        <v>0.06</v>
      </c>
      <c r="I181" s="135"/>
      <c r="J181" s="134" t="s">
        <v>102</v>
      </c>
      <c r="K181" s="134"/>
      <c r="L181" s="135" t="s">
        <v>966</v>
      </c>
    </row>
    <row r="182" spans="1:12" x14ac:dyDescent="0.3">
      <c r="A182" s="134">
        <v>11</v>
      </c>
      <c r="B182" s="135" t="s">
        <v>16</v>
      </c>
      <c r="C182" s="135" t="s">
        <v>128</v>
      </c>
      <c r="D182" s="135" t="s">
        <v>129</v>
      </c>
      <c r="E182" s="296" t="s">
        <v>126</v>
      </c>
      <c r="F182" s="137" t="s">
        <v>126</v>
      </c>
      <c r="G182" s="307">
        <v>0.1</v>
      </c>
      <c r="H182" s="138">
        <v>0.02</v>
      </c>
      <c r="I182" s="135"/>
      <c r="J182" s="156" t="s">
        <v>127</v>
      </c>
      <c r="K182" s="156"/>
      <c r="L182" s="135" t="s">
        <v>966</v>
      </c>
    </row>
    <row r="183" spans="1:12" x14ac:dyDescent="0.3">
      <c r="A183" s="134">
        <v>11</v>
      </c>
      <c r="B183" s="135" t="s">
        <v>16</v>
      </c>
      <c r="C183" s="135" t="s">
        <v>128</v>
      </c>
      <c r="D183" s="135" t="s">
        <v>129</v>
      </c>
      <c r="E183" s="296"/>
      <c r="F183" s="137" t="s">
        <v>126</v>
      </c>
      <c r="G183" s="308"/>
      <c r="H183" s="138">
        <v>0.02</v>
      </c>
      <c r="I183" s="135"/>
      <c r="J183" s="156" t="s">
        <v>135</v>
      </c>
      <c r="K183" s="156"/>
      <c r="L183" s="135" t="s">
        <v>966</v>
      </c>
    </row>
    <row r="184" spans="1:12" x14ac:dyDescent="0.3">
      <c r="A184" s="134">
        <v>11</v>
      </c>
      <c r="B184" s="135" t="s">
        <v>16</v>
      </c>
      <c r="C184" s="135" t="s">
        <v>128</v>
      </c>
      <c r="D184" s="135" t="s">
        <v>129</v>
      </c>
      <c r="E184" s="296"/>
      <c r="F184" s="137" t="s">
        <v>126</v>
      </c>
      <c r="G184" s="308"/>
      <c r="H184" s="138">
        <v>0.02</v>
      </c>
      <c r="I184" s="135"/>
      <c r="J184" s="134" t="s">
        <v>136</v>
      </c>
      <c r="K184" s="134"/>
      <c r="L184" s="135" t="s">
        <v>966</v>
      </c>
    </row>
    <row r="185" spans="1:12" x14ac:dyDescent="0.3">
      <c r="A185" s="134">
        <v>11</v>
      </c>
      <c r="B185" s="135" t="s">
        <v>16</v>
      </c>
      <c r="C185" s="135" t="s">
        <v>128</v>
      </c>
      <c r="D185" s="135" t="s">
        <v>129</v>
      </c>
      <c r="E185" s="296"/>
      <c r="F185" s="137" t="s">
        <v>126</v>
      </c>
      <c r="G185" s="308"/>
      <c r="H185" s="138">
        <v>0.02</v>
      </c>
      <c r="I185" s="135"/>
      <c r="J185" s="134" t="s">
        <v>137</v>
      </c>
      <c r="K185" s="134"/>
      <c r="L185" s="135" t="s">
        <v>966</v>
      </c>
    </row>
    <row r="186" spans="1:12" x14ac:dyDescent="0.3">
      <c r="A186" s="134">
        <v>11</v>
      </c>
      <c r="B186" s="135" t="s">
        <v>16</v>
      </c>
      <c r="C186" s="135" t="s">
        <v>128</v>
      </c>
      <c r="D186" s="135" t="s">
        <v>129</v>
      </c>
      <c r="E186" s="296"/>
      <c r="F186" s="137" t="s">
        <v>126</v>
      </c>
      <c r="G186" s="308"/>
      <c r="H186" s="138">
        <v>0.02</v>
      </c>
      <c r="I186" s="135"/>
      <c r="J186" s="134" t="s">
        <v>138</v>
      </c>
      <c r="K186" s="134"/>
      <c r="L186" s="135" t="s">
        <v>966</v>
      </c>
    </row>
    <row r="187" spans="1:12" ht="14.55" customHeight="1" x14ac:dyDescent="0.3">
      <c r="A187" s="143">
        <v>12</v>
      </c>
      <c r="B187" s="144" t="s">
        <v>139</v>
      </c>
      <c r="C187" s="144" t="s">
        <v>140</v>
      </c>
      <c r="D187" s="144" t="s">
        <v>141</v>
      </c>
      <c r="E187" s="300" t="s">
        <v>93</v>
      </c>
      <c r="F187" s="146" t="s">
        <v>93</v>
      </c>
      <c r="G187" s="305">
        <v>0.15</v>
      </c>
      <c r="H187" s="147">
        <v>0.1</v>
      </c>
      <c r="I187" s="144"/>
      <c r="J187" s="143" t="s">
        <v>94</v>
      </c>
      <c r="K187" s="143"/>
      <c r="L187" s="144" t="s">
        <v>128</v>
      </c>
    </row>
    <row r="188" spans="1:12" ht="28.8" x14ac:dyDescent="0.3">
      <c r="A188" s="143">
        <v>12</v>
      </c>
      <c r="B188" s="144" t="s">
        <v>139</v>
      </c>
      <c r="C188" s="144" t="s">
        <v>140</v>
      </c>
      <c r="D188" s="144" t="s">
        <v>141</v>
      </c>
      <c r="E188" s="300"/>
      <c r="F188" s="146" t="s">
        <v>93</v>
      </c>
      <c r="G188" s="305"/>
      <c r="H188" s="147">
        <v>0.05</v>
      </c>
      <c r="I188" s="144"/>
      <c r="J188" s="155" t="s">
        <v>119</v>
      </c>
      <c r="K188" s="155"/>
      <c r="L188" s="144" t="s">
        <v>128</v>
      </c>
    </row>
    <row r="189" spans="1:12" ht="14.55" customHeight="1" x14ac:dyDescent="0.3">
      <c r="A189" s="143">
        <v>12</v>
      </c>
      <c r="B189" s="144" t="s">
        <v>139</v>
      </c>
      <c r="C189" s="144" t="s">
        <v>140</v>
      </c>
      <c r="D189" s="144" t="s">
        <v>141</v>
      </c>
      <c r="E189" s="300" t="s">
        <v>114</v>
      </c>
      <c r="F189" s="146" t="s">
        <v>114</v>
      </c>
      <c r="G189" s="305">
        <v>0.25</v>
      </c>
      <c r="H189" s="147">
        <v>0.1</v>
      </c>
      <c r="I189" s="144"/>
      <c r="J189" s="143" t="s">
        <v>122</v>
      </c>
      <c r="K189" s="143"/>
      <c r="L189" s="144" t="s">
        <v>128</v>
      </c>
    </row>
    <row r="190" spans="1:12" ht="28.8" x14ac:dyDescent="0.3">
      <c r="A190" s="143">
        <v>12</v>
      </c>
      <c r="B190" s="144" t="s">
        <v>139</v>
      </c>
      <c r="C190" s="144" t="s">
        <v>140</v>
      </c>
      <c r="D190" s="144" t="s">
        <v>141</v>
      </c>
      <c r="E190" s="300"/>
      <c r="F190" s="146" t="s">
        <v>114</v>
      </c>
      <c r="G190" s="305"/>
      <c r="H190" s="147">
        <v>0.1</v>
      </c>
      <c r="I190" s="144"/>
      <c r="J190" s="155" t="s">
        <v>133</v>
      </c>
      <c r="K190" s="155"/>
      <c r="L190" s="144" t="s">
        <v>128</v>
      </c>
    </row>
    <row r="191" spans="1:12" ht="28.8" x14ac:dyDescent="0.3">
      <c r="A191" s="143">
        <v>12</v>
      </c>
      <c r="B191" s="144" t="s">
        <v>139</v>
      </c>
      <c r="C191" s="144" t="s">
        <v>140</v>
      </c>
      <c r="D191" s="144" t="s">
        <v>141</v>
      </c>
      <c r="E191" s="300"/>
      <c r="F191" s="146" t="s">
        <v>114</v>
      </c>
      <c r="G191" s="305"/>
      <c r="H191" s="147">
        <v>0.05</v>
      </c>
      <c r="I191" s="144"/>
      <c r="J191" s="155" t="s">
        <v>134</v>
      </c>
      <c r="K191" s="155"/>
      <c r="L191" s="144" t="s">
        <v>128</v>
      </c>
    </row>
    <row r="192" spans="1:12" ht="14.55" customHeight="1" x14ac:dyDescent="0.3">
      <c r="A192" s="143">
        <v>12</v>
      </c>
      <c r="B192" s="144" t="s">
        <v>139</v>
      </c>
      <c r="C192" s="144" t="s">
        <v>140</v>
      </c>
      <c r="D192" s="144" t="s">
        <v>141</v>
      </c>
      <c r="E192" s="300" t="s">
        <v>96</v>
      </c>
      <c r="F192" s="146" t="s">
        <v>96</v>
      </c>
      <c r="G192" s="305">
        <v>0.3</v>
      </c>
      <c r="H192" s="147">
        <v>0.1</v>
      </c>
      <c r="I192" s="144"/>
      <c r="J192" s="155" t="s">
        <v>110</v>
      </c>
      <c r="K192" s="155"/>
      <c r="L192" s="144" t="s">
        <v>128</v>
      </c>
    </row>
    <row r="193" spans="1:12" ht="14.55" customHeight="1" x14ac:dyDescent="0.3">
      <c r="A193" s="143">
        <v>12</v>
      </c>
      <c r="B193" s="144" t="s">
        <v>139</v>
      </c>
      <c r="C193" s="144" t="s">
        <v>140</v>
      </c>
      <c r="D193" s="144" t="s">
        <v>141</v>
      </c>
      <c r="E193" s="300" t="s">
        <v>96</v>
      </c>
      <c r="F193" s="146" t="s">
        <v>96</v>
      </c>
      <c r="G193" s="305"/>
      <c r="H193" s="147">
        <v>0.1</v>
      </c>
      <c r="I193" s="144"/>
      <c r="J193" s="160" t="s">
        <v>123</v>
      </c>
      <c r="K193" s="160"/>
      <c r="L193" s="144" t="s">
        <v>128</v>
      </c>
    </row>
    <row r="194" spans="1:12" ht="14.55" customHeight="1" x14ac:dyDescent="0.3">
      <c r="A194" s="143">
        <v>12</v>
      </c>
      <c r="B194" s="144" t="s">
        <v>139</v>
      </c>
      <c r="C194" s="144" t="s">
        <v>140</v>
      </c>
      <c r="D194" s="144" t="s">
        <v>141</v>
      </c>
      <c r="E194" s="300" t="s">
        <v>96</v>
      </c>
      <c r="F194" s="146" t="s">
        <v>96</v>
      </c>
      <c r="G194" s="305"/>
      <c r="H194" s="147">
        <v>0.1</v>
      </c>
      <c r="I194" s="144"/>
      <c r="J194" s="143" t="s">
        <v>124</v>
      </c>
      <c r="K194" s="143"/>
      <c r="L194" s="144" t="s">
        <v>128</v>
      </c>
    </row>
    <row r="195" spans="1:12" ht="14.55" customHeight="1" x14ac:dyDescent="0.3">
      <c r="A195" s="143">
        <v>12</v>
      </c>
      <c r="B195" s="144" t="s">
        <v>139</v>
      </c>
      <c r="C195" s="144" t="s">
        <v>140</v>
      </c>
      <c r="D195" s="144" t="s">
        <v>141</v>
      </c>
      <c r="E195" s="300" t="s">
        <v>99</v>
      </c>
      <c r="F195" s="146" t="s">
        <v>99</v>
      </c>
      <c r="G195" s="305">
        <v>0.3</v>
      </c>
      <c r="H195" s="147">
        <v>0.05</v>
      </c>
      <c r="I195" s="144"/>
      <c r="J195" s="143" t="s">
        <v>100</v>
      </c>
      <c r="K195" s="143"/>
      <c r="L195" s="144" t="s">
        <v>128</v>
      </c>
    </row>
    <row r="196" spans="1:12" ht="28.8" x14ac:dyDescent="0.3">
      <c r="A196" s="143">
        <v>12</v>
      </c>
      <c r="B196" s="144" t="s">
        <v>139</v>
      </c>
      <c r="C196" s="144" t="s">
        <v>140</v>
      </c>
      <c r="D196" s="144" t="s">
        <v>141</v>
      </c>
      <c r="E196" s="300"/>
      <c r="F196" s="146" t="s">
        <v>99</v>
      </c>
      <c r="G196" s="305"/>
      <c r="H196" s="147">
        <v>0.1</v>
      </c>
      <c r="I196" s="144"/>
      <c r="J196" s="143" t="s">
        <v>101</v>
      </c>
      <c r="K196" s="143"/>
      <c r="L196" s="144" t="s">
        <v>128</v>
      </c>
    </row>
    <row r="197" spans="1:12" ht="28.8" x14ac:dyDescent="0.3">
      <c r="A197" s="143">
        <v>12</v>
      </c>
      <c r="B197" s="144" t="s">
        <v>139</v>
      </c>
      <c r="C197" s="144" t="s">
        <v>140</v>
      </c>
      <c r="D197" s="144" t="s">
        <v>141</v>
      </c>
      <c r="E197" s="300"/>
      <c r="F197" s="146" t="s">
        <v>99</v>
      </c>
      <c r="G197" s="305"/>
      <c r="H197" s="147">
        <v>0.1</v>
      </c>
      <c r="I197" s="144"/>
      <c r="J197" s="155" t="s">
        <v>125</v>
      </c>
      <c r="K197" s="155"/>
      <c r="L197" s="144" t="s">
        <v>128</v>
      </c>
    </row>
    <row r="198" spans="1:12" ht="28.8" x14ac:dyDescent="0.3">
      <c r="A198" s="143">
        <v>12</v>
      </c>
      <c r="B198" s="144" t="s">
        <v>139</v>
      </c>
      <c r="C198" s="144" t="s">
        <v>140</v>
      </c>
      <c r="D198" s="144" t="s">
        <v>141</v>
      </c>
      <c r="E198" s="300"/>
      <c r="F198" s="146" t="s">
        <v>99</v>
      </c>
      <c r="G198" s="305"/>
      <c r="H198" s="147">
        <v>0.05</v>
      </c>
      <c r="I198" s="144"/>
      <c r="J198" s="143" t="s">
        <v>102</v>
      </c>
      <c r="K198" s="143"/>
      <c r="L198" s="144" t="s">
        <v>128</v>
      </c>
    </row>
    <row r="199" spans="1:12" x14ac:dyDescent="0.3">
      <c r="A199" s="134">
        <v>13</v>
      </c>
      <c r="B199" s="135" t="s">
        <v>142</v>
      </c>
      <c r="C199" s="135" t="s">
        <v>143</v>
      </c>
      <c r="D199" s="135" t="s">
        <v>144</v>
      </c>
      <c r="E199" s="309" t="s">
        <v>145</v>
      </c>
      <c r="F199" s="167" t="s">
        <v>145</v>
      </c>
      <c r="G199" s="307">
        <v>0.4</v>
      </c>
      <c r="H199" s="140">
        <v>0.25</v>
      </c>
      <c r="I199" s="164" t="s">
        <v>146</v>
      </c>
      <c r="J199" s="165" t="s">
        <v>147</v>
      </c>
      <c r="K199" s="165"/>
      <c r="L199" s="135" t="s">
        <v>177</v>
      </c>
    </row>
    <row r="200" spans="1:12" x14ac:dyDescent="0.3">
      <c r="A200" s="134">
        <v>13</v>
      </c>
      <c r="B200" s="135" t="s">
        <v>142</v>
      </c>
      <c r="C200" s="135" t="s">
        <v>143</v>
      </c>
      <c r="D200" s="135" t="s">
        <v>144</v>
      </c>
      <c r="E200" s="309"/>
      <c r="F200" s="167" t="s">
        <v>145</v>
      </c>
      <c r="G200" s="307"/>
      <c r="H200" s="140">
        <v>0.15</v>
      </c>
      <c r="I200" s="164" t="s">
        <v>146</v>
      </c>
      <c r="J200" s="165" t="s">
        <v>148</v>
      </c>
      <c r="K200" s="165"/>
      <c r="L200" s="135" t="s">
        <v>177</v>
      </c>
    </row>
    <row r="201" spans="1:12" x14ac:dyDescent="0.3">
      <c r="A201" s="134">
        <v>13</v>
      </c>
      <c r="B201" s="135" t="s">
        <v>142</v>
      </c>
      <c r="C201" s="135" t="s">
        <v>143</v>
      </c>
      <c r="D201" s="135" t="s">
        <v>144</v>
      </c>
      <c r="E201" s="309" t="s">
        <v>149</v>
      </c>
      <c r="F201" s="167" t="s">
        <v>149</v>
      </c>
      <c r="G201" s="307">
        <v>0.2</v>
      </c>
      <c r="H201" s="140">
        <v>0.05</v>
      </c>
      <c r="I201" s="166">
        <v>0.97499999999999998</v>
      </c>
      <c r="J201" s="167" t="s">
        <v>150</v>
      </c>
      <c r="K201" s="167"/>
      <c r="L201" s="135" t="s">
        <v>177</v>
      </c>
    </row>
    <row r="202" spans="1:12" x14ac:dyDescent="0.3">
      <c r="A202" s="134">
        <v>13</v>
      </c>
      <c r="B202" s="135" t="s">
        <v>142</v>
      </c>
      <c r="C202" s="135" t="s">
        <v>143</v>
      </c>
      <c r="D202" s="135" t="s">
        <v>144</v>
      </c>
      <c r="E202" s="309"/>
      <c r="F202" s="167" t="s">
        <v>149</v>
      </c>
      <c r="G202" s="307"/>
      <c r="H202" s="140">
        <v>0.05</v>
      </c>
      <c r="I202" s="164" t="s">
        <v>151</v>
      </c>
      <c r="J202" s="167" t="s">
        <v>152</v>
      </c>
      <c r="K202" s="167"/>
      <c r="L202" s="135" t="s">
        <v>177</v>
      </c>
    </row>
    <row r="203" spans="1:12" x14ac:dyDescent="0.3">
      <c r="A203" s="134">
        <v>13</v>
      </c>
      <c r="B203" s="135" t="s">
        <v>142</v>
      </c>
      <c r="C203" s="135" t="s">
        <v>143</v>
      </c>
      <c r="D203" s="135" t="s">
        <v>144</v>
      </c>
      <c r="E203" s="309"/>
      <c r="F203" s="167" t="s">
        <v>149</v>
      </c>
      <c r="G203" s="307"/>
      <c r="H203" s="140">
        <v>0.03</v>
      </c>
      <c r="I203" s="168">
        <v>0.5</v>
      </c>
      <c r="J203" s="167" t="s">
        <v>153</v>
      </c>
      <c r="K203" s="167"/>
      <c r="L203" s="135" t="s">
        <v>177</v>
      </c>
    </row>
    <row r="204" spans="1:12" x14ac:dyDescent="0.3">
      <c r="A204" s="134">
        <v>13</v>
      </c>
      <c r="B204" s="135" t="s">
        <v>142</v>
      </c>
      <c r="C204" s="135" t="s">
        <v>143</v>
      </c>
      <c r="D204" s="135" t="s">
        <v>144</v>
      </c>
      <c r="E204" s="309"/>
      <c r="F204" s="167" t="s">
        <v>149</v>
      </c>
      <c r="G204" s="307"/>
      <c r="H204" s="140">
        <v>0.03</v>
      </c>
      <c r="I204" s="168">
        <v>0.9</v>
      </c>
      <c r="J204" s="167" t="s">
        <v>154</v>
      </c>
      <c r="K204" s="167"/>
      <c r="L204" s="135" t="s">
        <v>177</v>
      </c>
    </row>
    <row r="205" spans="1:12" x14ac:dyDescent="0.3">
      <c r="A205" s="134">
        <v>13</v>
      </c>
      <c r="B205" s="135" t="s">
        <v>142</v>
      </c>
      <c r="C205" s="135" t="s">
        <v>143</v>
      </c>
      <c r="D205" s="135" t="s">
        <v>144</v>
      </c>
      <c r="E205" s="309"/>
      <c r="F205" s="167" t="s">
        <v>149</v>
      </c>
      <c r="G205" s="307"/>
      <c r="H205" s="140">
        <v>0.04</v>
      </c>
      <c r="I205" s="164" t="s">
        <v>155</v>
      </c>
      <c r="J205" s="167" t="s">
        <v>156</v>
      </c>
      <c r="K205" s="167"/>
      <c r="L205" s="135" t="s">
        <v>177</v>
      </c>
    </row>
    <row r="206" spans="1:12" x14ac:dyDescent="0.3">
      <c r="A206" s="134">
        <v>13</v>
      </c>
      <c r="B206" s="135" t="s">
        <v>142</v>
      </c>
      <c r="C206" s="135" t="s">
        <v>143</v>
      </c>
      <c r="D206" s="135" t="s">
        <v>144</v>
      </c>
      <c r="E206" s="309" t="s">
        <v>157</v>
      </c>
      <c r="F206" s="167" t="s">
        <v>157</v>
      </c>
      <c r="G206" s="307">
        <v>0.2</v>
      </c>
      <c r="H206" s="140">
        <v>7.4999999999999997E-2</v>
      </c>
      <c r="I206" s="164">
        <v>5</v>
      </c>
      <c r="J206" s="167" t="s">
        <v>158</v>
      </c>
      <c r="K206" s="167"/>
      <c r="L206" s="135" t="s">
        <v>177</v>
      </c>
    </row>
    <row r="207" spans="1:12" x14ac:dyDescent="0.3">
      <c r="A207" s="134">
        <v>13</v>
      </c>
      <c r="B207" s="135" t="s">
        <v>142</v>
      </c>
      <c r="C207" s="135" t="s">
        <v>143</v>
      </c>
      <c r="D207" s="135" t="s">
        <v>144</v>
      </c>
      <c r="E207" s="309"/>
      <c r="F207" s="167" t="s">
        <v>157</v>
      </c>
      <c r="G207" s="307"/>
      <c r="H207" s="140">
        <v>7.4999999999999997E-2</v>
      </c>
      <c r="I207" s="168">
        <v>0.4</v>
      </c>
      <c r="J207" s="167" t="s">
        <v>159</v>
      </c>
      <c r="K207" s="167"/>
      <c r="L207" s="135" t="s">
        <v>177</v>
      </c>
    </row>
    <row r="208" spans="1:12" x14ac:dyDescent="0.3">
      <c r="A208" s="134">
        <v>13</v>
      </c>
      <c r="B208" s="135" t="s">
        <v>142</v>
      </c>
      <c r="C208" s="135" t="s">
        <v>143</v>
      </c>
      <c r="D208" s="135" t="s">
        <v>144</v>
      </c>
      <c r="E208" s="309"/>
      <c r="F208" s="167" t="s">
        <v>157</v>
      </c>
      <c r="G208" s="307"/>
      <c r="H208" s="140">
        <v>0.03</v>
      </c>
      <c r="I208" s="164" t="s">
        <v>146</v>
      </c>
      <c r="J208" s="167" t="s">
        <v>160</v>
      </c>
      <c r="K208" s="167"/>
      <c r="L208" s="135" t="s">
        <v>177</v>
      </c>
    </row>
    <row r="209" spans="1:12" x14ac:dyDescent="0.3">
      <c r="A209" s="134">
        <v>13</v>
      </c>
      <c r="B209" s="135" t="s">
        <v>142</v>
      </c>
      <c r="C209" s="135" t="s">
        <v>143</v>
      </c>
      <c r="D209" s="135" t="s">
        <v>144</v>
      </c>
      <c r="E209" s="309"/>
      <c r="F209" s="167" t="s">
        <v>157</v>
      </c>
      <c r="G209" s="307"/>
      <c r="H209" s="140">
        <v>0.02</v>
      </c>
      <c r="I209" s="164">
        <v>1</v>
      </c>
      <c r="J209" s="134" t="s">
        <v>161</v>
      </c>
      <c r="K209" s="134"/>
      <c r="L209" s="135" t="s">
        <v>177</v>
      </c>
    </row>
    <row r="210" spans="1:12" x14ac:dyDescent="0.3">
      <c r="A210" s="134">
        <v>13</v>
      </c>
      <c r="B210" s="135" t="s">
        <v>142</v>
      </c>
      <c r="C210" s="135" t="s">
        <v>143</v>
      </c>
      <c r="D210" s="135" t="s">
        <v>144</v>
      </c>
      <c r="E210" s="309" t="s">
        <v>126</v>
      </c>
      <c r="F210" s="167" t="s">
        <v>126</v>
      </c>
      <c r="G210" s="307">
        <v>0.1</v>
      </c>
      <c r="H210" s="140">
        <v>3.5000000000000003E-2</v>
      </c>
      <c r="I210" s="164" t="s">
        <v>146</v>
      </c>
      <c r="J210" s="167" t="s">
        <v>162</v>
      </c>
      <c r="K210" s="167"/>
      <c r="L210" s="135" t="s">
        <v>177</v>
      </c>
    </row>
    <row r="211" spans="1:12" x14ac:dyDescent="0.3">
      <c r="A211" s="134">
        <v>13</v>
      </c>
      <c r="B211" s="135" t="s">
        <v>142</v>
      </c>
      <c r="C211" s="135" t="s">
        <v>143</v>
      </c>
      <c r="D211" s="135" t="s">
        <v>144</v>
      </c>
      <c r="E211" s="309"/>
      <c r="F211" s="167" t="s">
        <v>126</v>
      </c>
      <c r="G211" s="307"/>
      <c r="H211" s="140">
        <v>3.5000000000000003E-2</v>
      </c>
      <c r="I211" s="168">
        <v>1</v>
      </c>
      <c r="J211" s="167" t="s">
        <v>163</v>
      </c>
      <c r="K211" s="167"/>
      <c r="L211" s="135" t="s">
        <v>177</v>
      </c>
    </row>
    <row r="212" spans="1:12" x14ac:dyDescent="0.3">
      <c r="A212" s="134">
        <v>13</v>
      </c>
      <c r="B212" s="135" t="s">
        <v>142</v>
      </c>
      <c r="C212" s="135" t="s">
        <v>143</v>
      </c>
      <c r="D212" s="135" t="s">
        <v>144</v>
      </c>
      <c r="E212" s="309"/>
      <c r="F212" s="167" t="s">
        <v>126</v>
      </c>
      <c r="G212" s="307"/>
      <c r="H212" s="140">
        <v>0.03</v>
      </c>
      <c r="I212" s="164">
        <v>0</v>
      </c>
      <c r="J212" s="167" t="s">
        <v>164</v>
      </c>
      <c r="K212" s="167"/>
      <c r="L212" s="135" t="s">
        <v>177</v>
      </c>
    </row>
    <row r="213" spans="1:12" x14ac:dyDescent="0.3">
      <c r="A213" s="134">
        <v>13</v>
      </c>
      <c r="B213" s="135" t="s">
        <v>142</v>
      </c>
      <c r="C213" s="135" t="s">
        <v>143</v>
      </c>
      <c r="D213" s="135" t="s">
        <v>144</v>
      </c>
      <c r="E213" s="309" t="s">
        <v>165</v>
      </c>
      <c r="F213" s="167" t="s">
        <v>165</v>
      </c>
      <c r="G213" s="307">
        <v>0.1</v>
      </c>
      <c r="H213" s="140">
        <v>0.05</v>
      </c>
      <c r="I213" s="138">
        <v>1</v>
      </c>
      <c r="J213" s="167" t="s">
        <v>166</v>
      </c>
      <c r="K213" s="167"/>
      <c r="L213" s="135" t="s">
        <v>177</v>
      </c>
    </row>
    <row r="214" spans="1:12" x14ac:dyDescent="0.3">
      <c r="A214" s="134">
        <v>13</v>
      </c>
      <c r="B214" s="135" t="s">
        <v>142</v>
      </c>
      <c r="C214" s="135" t="s">
        <v>143</v>
      </c>
      <c r="D214" s="135" t="s">
        <v>144</v>
      </c>
      <c r="E214" s="309"/>
      <c r="F214" s="167" t="s">
        <v>165</v>
      </c>
      <c r="G214" s="307"/>
      <c r="H214" s="140">
        <v>0.05</v>
      </c>
      <c r="I214" s="164">
        <v>2</v>
      </c>
      <c r="J214" s="167" t="s">
        <v>167</v>
      </c>
      <c r="K214" s="167"/>
      <c r="L214" s="135" t="s">
        <v>177</v>
      </c>
    </row>
    <row r="215" spans="1:12" x14ac:dyDescent="0.3">
      <c r="A215" s="143">
        <v>14</v>
      </c>
      <c r="B215" s="144" t="s">
        <v>168</v>
      </c>
      <c r="C215" s="144" t="s">
        <v>169</v>
      </c>
      <c r="D215" s="144" t="s">
        <v>170</v>
      </c>
      <c r="E215" s="310" t="s">
        <v>145</v>
      </c>
      <c r="F215" s="172" t="s">
        <v>145</v>
      </c>
      <c r="G215" s="302">
        <v>0.4</v>
      </c>
      <c r="H215" s="149">
        <v>0.25</v>
      </c>
      <c r="I215" s="169" t="s">
        <v>146</v>
      </c>
      <c r="J215" s="170" t="s">
        <v>147</v>
      </c>
      <c r="K215" s="170"/>
      <c r="L215" s="144" t="s">
        <v>177</v>
      </c>
    </row>
    <row r="216" spans="1:12" x14ac:dyDescent="0.3">
      <c r="A216" s="143">
        <v>14</v>
      </c>
      <c r="B216" s="144" t="s">
        <v>168</v>
      </c>
      <c r="C216" s="144" t="s">
        <v>169</v>
      </c>
      <c r="D216" s="144" t="s">
        <v>170</v>
      </c>
      <c r="E216" s="310"/>
      <c r="F216" s="172" t="s">
        <v>145</v>
      </c>
      <c r="G216" s="302">
        <v>0.4</v>
      </c>
      <c r="H216" s="149">
        <v>0.15</v>
      </c>
      <c r="I216" s="169" t="s">
        <v>146</v>
      </c>
      <c r="J216" s="170" t="s">
        <v>148</v>
      </c>
      <c r="K216" s="170"/>
      <c r="L216" s="144" t="s">
        <v>177</v>
      </c>
    </row>
    <row r="217" spans="1:12" x14ac:dyDescent="0.3">
      <c r="A217" s="143">
        <v>14</v>
      </c>
      <c r="B217" s="144" t="s">
        <v>168</v>
      </c>
      <c r="C217" s="144" t="s">
        <v>169</v>
      </c>
      <c r="D217" s="144" t="s">
        <v>170</v>
      </c>
      <c r="E217" s="310" t="s">
        <v>149</v>
      </c>
      <c r="F217" s="172" t="s">
        <v>149</v>
      </c>
      <c r="G217" s="311">
        <v>0.15</v>
      </c>
      <c r="H217" s="149">
        <v>0.05</v>
      </c>
      <c r="I217" s="171">
        <v>0.97499999999999998</v>
      </c>
      <c r="J217" s="172" t="s">
        <v>150</v>
      </c>
      <c r="K217" s="172"/>
      <c r="L217" s="144" t="s">
        <v>177</v>
      </c>
    </row>
    <row r="218" spans="1:12" x14ac:dyDescent="0.3">
      <c r="A218" s="143">
        <v>14</v>
      </c>
      <c r="B218" s="144" t="s">
        <v>168</v>
      </c>
      <c r="C218" s="144" t="s">
        <v>169</v>
      </c>
      <c r="D218" s="144" t="s">
        <v>170</v>
      </c>
      <c r="E218" s="310"/>
      <c r="F218" s="172" t="s">
        <v>149</v>
      </c>
      <c r="G218" s="311"/>
      <c r="H218" s="149">
        <v>0.04</v>
      </c>
      <c r="I218" s="169" t="s">
        <v>151</v>
      </c>
      <c r="J218" s="172" t="s">
        <v>152</v>
      </c>
      <c r="K218" s="172"/>
      <c r="L218" s="144" t="s">
        <v>177</v>
      </c>
    </row>
    <row r="219" spans="1:12" x14ac:dyDescent="0.3">
      <c r="A219" s="143">
        <v>14</v>
      </c>
      <c r="B219" s="144" t="s">
        <v>168</v>
      </c>
      <c r="C219" s="144" t="s">
        <v>169</v>
      </c>
      <c r="D219" s="144" t="s">
        <v>170</v>
      </c>
      <c r="E219" s="310"/>
      <c r="F219" s="172" t="s">
        <v>149</v>
      </c>
      <c r="G219" s="311"/>
      <c r="H219" s="149">
        <v>0.03</v>
      </c>
      <c r="I219" s="173">
        <v>0.5</v>
      </c>
      <c r="J219" s="172" t="s">
        <v>153</v>
      </c>
      <c r="K219" s="172"/>
      <c r="L219" s="144" t="s">
        <v>177</v>
      </c>
    </row>
    <row r="220" spans="1:12" x14ac:dyDescent="0.3">
      <c r="A220" s="143">
        <v>14</v>
      </c>
      <c r="B220" s="144" t="s">
        <v>168</v>
      </c>
      <c r="C220" s="144" t="s">
        <v>169</v>
      </c>
      <c r="D220" s="144" t="s">
        <v>170</v>
      </c>
      <c r="E220" s="310"/>
      <c r="F220" s="172" t="s">
        <v>149</v>
      </c>
      <c r="G220" s="311"/>
      <c r="H220" s="149">
        <v>0.03</v>
      </c>
      <c r="I220" s="169" t="s">
        <v>155</v>
      </c>
      <c r="J220" s="172" t="s">
        <v>156</v>
      </c>
      <c r="K220" s="172"/>
      <c r="L220" s="144" t="s">
        <v>177</v>
      </c>
    </row>
    <row r="221" spans="1:12" x14ac:dyDescent="0.3">
      <c r="A221" s="143">
        <v>14</v>
      </c>
      <c r="B221" s="144" t="s">
        <v>168</v>
      </c>
      <c r="C221" s="144" t="s">
        <v>169</v>
      </c>
      <c r="D221" s="144" t="s">
        <v>170</v>
      </c>
      <c r="E221" s="310" t="s">
        <v>157</v>
      </c>
      <c r="F221" s="172" t="s">
        <v>157</v>
      </c>
      <c r="G221" s="311">
        <v>0.15</v>
      </c>
      <c r="H221" s="149">
        <v>0.05</v>
      </c>
      <c r="I221" s="169">
        <v>5</v>
      </c>
      <c r="J221" s="172" t="s">
        <v>158</v>
      </c>
      <c r="K221" s="172"/>
      <c r="L221" s="144" t="s">
        <v>177</v>
      </c>
    </row>
    <row r="222" spans="1:12" x14ac:dyDescent="0.3">
      <c r="A222" s="143">
        <v>14</v>
      </c>
      <c r="B222" s="144" t="s">
        <v>168</v>
      </c>
      <c r="C222" s="144" t="s">
        <v>169</v>
      </c>
      <c r="D222" s="144" t="s">
        <v>170</v>
      </c>
      <c r="E222" s="310"/>
      <c r="F222" s="172" t="s">
        <v>157</v>
      </c>
      <c r="G222" s="311"/>
      <c r="H222" s="149">
        <v>0.05</v>
      </c>
      <c r="I222" s="173">
        <v>0.4</v>
      </c>
      <c r="J222" s="172" t="s">
        <v>159</v>
      </c>
      <c r="K222" s="172"/>
      <c r="L222" s="144" t="s">
        <v>177</v>
      </c>
    </row>
    <row r="223" spans="1:12" x14ac:dyDescent="0.3">
      <c r="A223" s="143">
        <v>14</v>
      </c>
      <c r="B223" s="144" t="s">
        <v>168</v>
      </c>
      <c r="C223" s="144" t="s">
        <v>169</v>
      </c>
      <c r="D223" s="144" t="s">
        <v>170</v>
      </c>
      <c r="E223" s="310"/>
      <c r="F223" s="172" t="s">
        <v>157</v>
      </c>
      <c r="G223" s="311"/>
      <c r="H223" s="149">
        <v>0.05</v>
      </c>
      <c r="I223" s="173">
        <v>1</v>
      </c>
      <c r="J223" s="172" t="s">
        <v>171</v>
      </c>
      <c r="K223" s="172"/>
      <c r="L223" s="144" t="s">
        <v>177</v>
      </c>
    </row>
    <row r="224" spans="1:12" x14ac:dyDescent="0.3">
      <c r="A224" s="143">
        <v>14</v>
      </c>
      <c r="B224" s="144" t="s">
        <v>168</v>
      </c>
      <c r="C224" s="144" t="s">
        <v>169</v>
      </c>
      <c r="D224" s="144" t="s">
        <v>170</v>
      </c>
      <c r="E224" s="310" t="s">
        <v>126</v>
      </c>
      <c r="F224" s="172" t="s">
        <v>126</v>
      </c>
      <c r="G224" s="311">
        <v>0.15</v>
      </c>
      <c r="H224" s="149">
        <v>0.05</v>
      </c>
      <c r="I224" s="169" t="s">
        <v>146</v>
      </c>
      <c r="J224" s="172" t="s">
        <v>162</v>
      </c>
      <c r="K224" s="172"/>
      <c r="L224" s="144" t="s">
        <v>177</v>
      </c>
    </row>
    <row r="225" spans="1:12" x14ac:dyDescent="0.3">
      <c r="A225" s="143">
        <v>14</v>
      </c>
      <c r="B225" s="144" t="s">
        <v>168</v>
      </c>
      <c r="C225" s="144" t="s">
        <v>169</v>
      </c>
      <c r="D225" s="144" t="s">
        <v>170</v>
      </c>
      <c r="E225" s="310"/>
      <c r="F225" s="172" t="s">
        <v>126</v>
      </c>
      <c r="G225" s="311"/>
      <c r="H225" s="149">
        <v>7.4999999999999997E-2</v>
      </c>
      <c r="I225" s="169">
        <v>3</v>
      </c>
      <c r="J225" s="172" t="s">
        <v>172</v>
      </c>
      <c r="K225" s="172"/>
      <c r="L225" s="144" t="s">
        <v>177</v>
      </c>
    </row>
    <row r="226" spans="1:12" x14ac:dyDescent="0.3">
      <c r="A226" s="143">
        <v>14</v>
      </c>
      <c r="B226" s="144" t="s">
        <v>168</v>
      </c>
      <c r="C226" s="144" t="s">
        <v>169</v>
      </c>
      <c r="D226" s="144" t="s">
        <v>170</v>
      </c>
      <c r="E226" s="310"/>
      <c r="F226" s="172" t="s">
        <v>126</v>
      </c>
      <c r="G226" s="311"/>
      <c r="H226" s="149">
        <v>2.5000000000000001E-2</v>
      </c>
      <c r="I226" s="169">
        <v>0</v>
      </c>
      <c r="J226" s="172" t="s">
        <v>164</v>
      </c>
      <c r="K226" s="172"/>
      <c r="L226" s="144" t="s">
        <v>177</v>
      </c>
    </row>
    <row r="227" spans="1:12" x14ac:dyDescent="0.3">
      <c r="A227" s="143">
        <v>14</v>
      </c>
      <c r="B227" s="144" t="s">
        <v>168</v>
      </c>
      <c r="C227" s="144" t="s">
        <v>169</v>
      </c>
      <c r="D227" s="144" t="s">
        <v>170</v>
      </c>
      <c r="E227" s="310" t="s">
        <v>165</v>
      </c>
      <c r="F227" s="172" t="s">
        <v>165</v>
      </c>
      <c r="G227" s="311">
        <v>0.15</v>
      </c>
      <c r="H227" s="149">
        <v>0.05</v>
      </c>
      <c r="I227" s="169">
        <v>2</v>
      </c>
      <c r="J227" s="172" t="s">
        <v>167</v>
      </c>
      <c r="K227" s="172"/>
      <c r="L227" s="144" t="s">
        <v>177</v>
      </c>
    </row>
    <row r="228" spans="1:12" x14ac:dyDescent="0.3">
      <c r="A228" s="143">
        <v>14</v>
      </c>
      <c r="B228" s="144" t="s">
        <v>168</v>
      </c>
      <c r="C228" s="144" t="s">
        <v>169</v>
      </c>
      <c r="D228" s="144" t="s">
        <v>170</v>
      </c>
      <c r="E228" s="310"/>
      <c r="F228" s="172" t="s">
        <v>165</v>
      </c>
      <c r="G228" s="311"/>
      <c r="H228" s="149">
        <v>0.05</v>
      </c>
      <c r="I228" s="169" t="s">
        <v>173</v>
      </c>
      <c r="J228" s="172" t="s">
        <v>174</v>
      </c>
      <c r="K228" s="172"/>
      <c r="L228" s="144" t="s">
        <v>177</v>
      </c>
    </row>
    <row r="229" spans="1:12" x14ac:dyDescent="0.3">
      <c r="A229" s="143">
        <v>14</v>
      </c>
      <c r="B229" s="144" t="s">
        <v>168</v>
      </c>
      <c r="C229" s="144" t="s">
        <v>169</v>
      </c>
      <c r="D229" s="144" t="s">
        <v>170</v>
      </c>
      <c r="E229" s="310"/>
      <c r="F229" s="172" t="s">
        <v>165</v>
      </c>
      <c r="G229" s="311"/>
      <c r="H229" s="149">
        <v>0.05</v>
      </c>
      <c r="I229" s="147">
        <v>0.95</v>
      </c>
      <c r="J229" s="174" t="s">
        <v>175</v>
      </c>
      <c r="K229" s="174"/>
      <c r="L229" s="144" t="s">
        <v>177</v>
      </c>
    </row>
    <row r="230" spans="1:12" x14ac:dyDescent="0.3">
      <c r="A230" s="134">
        <v>15</v>
      </c>
      <c r="B230" s="135" t="s">
        <v>176</v>
      </c>
      <c r="C230" s="135" t="s">
        <v>177</v>
      </c>
      <c r="D230" s="135" t="s">
        <v>178</v>
      </c>
      <c r="E230" s="309" t="s">
        <v>145</v>
      </c>
      <c r="F230" s="167" t="s">
        <v>145</v>
      </c>
      <c r="G230" s="295">
        <v>0.4</v>
      </c>
      <c r="H230" s="140">
        <v>0.25</v>
      </c>
      <c r="I230" s="164" t="s">
        <v>146</v>
      </c>
      <c r="J230" s="165" t="s">
        <v>147</v>
      </c>
      <c r="K230" s="165"/>
      <c r="L230" s="135" t="s">
        <v>966</v>
      </c>
    </row>
    <row r="231" spans="1:12" x14ac:dyDescent="0.3">
      <c r="A231" s="134">
        <v>15</v>
      </c>
      <c r="B231" s="135" t="s">
        <v>176</v>
      </c>
      <c r="C231" s="135" t="s">
        <v>177</v>
      </c>
      <c r="D231" s="135" t="s">
        <v>178</v>
      </c>
      <c r="E231" s="309"/>
      <c r="F231" s="167" t="s">
        <v>145</v>
      </c>
      <c r="G231" s="295">
        <v>0.4</v>
      </c>
      <c r="H231" s="140">
        <v>0.15</v>
      </c>
      <c r="I231" s="164" t="s">
        <v>146</v>
      </c>
      <c r="J231" s="165" t="s">
        <v>148</v>
      </c>
      <c r="K231" s="165"/>
      <c r="L231" s="135" t="s">
        <v>966</v>
      </c>
    </row>
    <row r="232" spans="1:12" x14ac:dyDescent="0.3">
      <c r="A232" s="134">
        <v>15</v>
      </c>
      <c r="B232" s="135" t="s">
        <v>176</v>
      </c>
      <c r="C232" s="135" t="s">
        <v>177</v>
      </c>
      <c r="D232" s="135" t="s">
        <v>178</v>
      </c>
      <c r="E232" s="309" t="s">
        <v>149</v>
      </c>
      <c r="F232" s="167" t="s">
        <v>149</v>
      </c>
      <c r="G232" s="295">
        <v>0.15</v>
      </c>
      <c r="H232" s="140">
        <v>0.03</v>
      </c>
      <c r="I232" s="166">
        <v>0.97499999999999998</v>
      </c>
      <c r="J232" s="167" t="s">
        <v>150</v>
      </c>
      <c r="K232" s="167"/>
      <c r="L232" s="135" t="s">
        <v>966</v>
      </c>
    </row>
    <row r="233" spans="1:12" x14ac:dyDescent="0.3">
      <c r="A233" s="134">
        <v>15</v>
      </c>
      <c r="B233" s="135" t="s">
        <v>176</v>
      </c>
      <c r="C233" s="135" t="s">
        <v>177</v>
      </c>
      <c r="D233" s="135" t="s">
        <v>178</v>
      </c>
      <c r="E233" s="309"/>
      <c r="F233" s="167" t="s">
        <v>149</v>
      </c>
      <c r="G233" s="295"/>
      <c r="H233" s="140">
        <v>0.03</v>
      </c>
      <c r="I233" s="164" t="s">
        <v>151</v>
      </c>
      <c r="J233" s="167" t="s">
        <v>152</v>
      </c>
      <c r="K233" s="167"/>
      <c r="L233" s="135" t="s">
        <v>966</v>
      </c>
    </row>
    <row r="234" spans="1:12" x14ac:dyDescent="0.3">
      <c r="A234" s="134">
        <v>15</v>
      </c>
      <c r="B234" s="135" t="s">
        <v>176</v>
      </c>
      <c r="C234" s="135" t="s">
        <v>177</v>
      </c>
      <c r="D234" s="135" t="s">
        <v>178</v>
      </c>
      <c r="E234" s="309"/>
      <c r="F234" s="167" t="s">
        <v>149</v>
      </c>
      <c r="G234" s="295"/>
      <c r="H234" s="140">
        <v>0.03</v>
      </c>
      <c r="I234" s="168">
        <v>0.5</v>
      </c>
      <c r="J234" s="167" t="s">
        <v>153</v>
      </c>
      <c r="K234" s="167"/>
      <c r="L234" s="135" t="s">
        <v>966</v>
      </c>
    </row>
    <row r="235" spans="1:12" x14ac:dyDescent="0.3">
      <c r="A235" s="134">
        <v>15</v>
      </c>
      <c r="B235" s="135" t="s">
        <v>176</v>
      </c>
      <c r="C235" s="135" t="s">
        <v>177</v>
      </c>
      <c r="D235" s="135" t="s">
        <v>178</v>
      </c>
      <c r="E235" s="309"/>
      <c r="F235" s="167" t="s">
        <v>149</v>
      </c>
      <c r="G235" s="295"/>
      <c r="H235" s="140">
        <v>0.03</v>
      </c>
      <c r="I235" s="168">
        <v>0.9</v>
      </c>
      <c r="J235" s="167" t="s">
        <v>154</v>
      </c>
      <c r="K235" s="167"/>
      <c r="L235" s="135" t="s">
        <v>966</v>
      </c>
    </row>
    <row r="236" spans="1:12" x14ac:dyDescent="0.3">
      <c r="A236" s="134">
        <v>15</v>
      </c>
      <c r="B236" s="135" t="s">
        <v>176</v>
      </c>
      <c r="C236" s="135" t="s">
        <v>177</v>
      </c>
      <c r="D236" s="135" t="s">
        <v>178</v>
      </c>
      <c r="E236" s="309"/>
      <c r="F236" s="167" t="s">
        <v>149</v>
      </c>
      <c r="G236" s="295">
        <v>0.15</v>
      </c>
      <c r="H236" s="140">
        <v>0.03</v>
      </c>
      <c r="I236" s="164" t="s">
        <v>155</v>
      </c>
      <c r="J236" s="167" t="s">
        <v>156</v>
      </c>
      <c r="K236" s="167"/>
      <c r="L236" s="135" t="s">
        <v>966</v>
      </c>
    </row>
    <row r="237" spans="1:12" x14ac:dyDescent="0.3">
      <c r="A237" s="134">
        <v>15</v>
      </c>
      <c r="B237" s="135" t="s">
        <v>176</v>
      </c>
      <c r="C237" s="135" t="s">
        <v>177</v>
      </c>
      <c r="D237" s="135" t="s">
        <v>178</v>
      </c>
      <c r="E237" s="309" t="s">
        <v>157</v>
      </c>
      <c r="F237" s="167" t="s">
        <v>157</v>
      </c>
      <c r="G237" s="295">
        <v>0.15</v>
      </c>
      <c r="H237" s="140">
        <v>0.02</v>
      </c>
      <c r="I237" s="164" t="s">
        <v>146</v>
      </c>
      <c r="J237" s="167" t="s">
        <v>160</v>
      </c>
      <c r="K237" s="167"/>
      <c r="L237" s="135" t="s">
        <v>966</v>
      </c>
    </row>
    <row r="238" spans="1:12" x14ac:dyDescent="0.3">
      <c r="A238" s="134">
        <v>15</v>
      </c>
      <c r="B238" s="135" t="s">
        <v>176</v>
      </c>
      <c r="C238" s="135" t="s">
        <v>177</v>
      </c>
      <c r="D238" s="135" t="s">
        <v>178</v>
      </c>
      <c r="E238" s="309"/>
      <c r="F238" s="167" t="s">
        <v>157</v>
      </c>
      <c r="G238" s="295"/>
      <c r="H238" s="140">
        <v>0.05</v>
      </c>
      <c r="I238" s="164">
        <v>5</v>
      </c>
      <c r="J238" s="167" t="s">
        <v>158</v>
      </c>
      <c r="K238" s="167"/>
      <c r="L238" s="135" t="s">
        <v>966</v>
      </c>
    </row>
    <row r="239" spans="1:12" x14ac:dyDescent="0.3">
      <c r="A239" s="134">
        <v>15</v>
      </c>
      <c r="B239" s="135" t="s">
        <v>176</v>
      </c>
      <c r="C239" s="135" t="s">
        <v>177</v>
      </c>
      <c r="D239" s="135" t="s">
        <v>178</v>
      </c>
      <c r="E239" s="309"/>
      <c r="F239" s="167" t="s">
        <v>157</v>
      </c>
      <c r="G239" s="295"/>
      <c r="H239" s="140">
        <v>0.05</v>
      </c>
      <c r="I239" s="168">
        <v>0.4</v>
      </c>
      <c r="J239" s="167" t="s">
        <v>159</v>
      </c>
      <c r="K239" s="167"/>
      <c r="L239" s="135" t="s">
        <v>966</v>
      </c>
    </row>
    <row r="240" spans="1:12" x14ac:dyDescent="0.3">
      <c r="A240" s="134">
        <v>15</v>
      </c>
      <c r="B240" s="135" t="s">
        <v>176</v>
      </c>
      <c r="C240" s="135" t="s">
        <v>177</v>
      </c>
      <c r="D240" s="135" t="s">
        <v>178</v>
      </c>
      <c r="E240" s="309"/>
      <c r="F240" s="167" t="s">
        <v>157</v>
      </c>
      <c r="G240" s="295"/>
      <c r="H240" s="140">
        <v>0.02</v>
      </c>
      <c r="I240" s="168">
        <v>1</v>
      </c>
      <c r="J240" s="167" t="s">
        <v>171</v>
      </c>
      <c r="K240" s="167"/>
      <c r="L240" s="135" t="s">
        <v>966</v>
      </c>
    </row>
    <row r="241" spans="1:12" x14ac:dyDescent="0.3">
      <c r="A241" s="134">
        <v>15</v>
      </c>
      <c r="B241" s="135" t="s">
        <v>176</v>
      </c>
      <c r="C241" s="135" t="s">
        <v>177</v>
      </c>
      <c r="D241" s="135" t="s">
        <v>178</v>
      </c>
      <c r="E241" s="309"/>
      <c r="F241" s="167" t="s">
        <v>157</v>
      </c>
      <c r="G241" s="295">
        <v>0.15</v>
      </c>
      <c r="H241" s="140">
        <v>0.01</v>
      </c>
      <c r="I241" s="164">
        <v>1</v>
      </c>
      <c r="J241" s="134" t="s">
        <v>161</v>
      </c>
      <c r="K241" s="134"/>
      <c r="L241" s="135" t="s">
        <v>966</v>
      </c>
    </row>
    <row r="242" spans="1:12" x14ac:dyDescent="0.3">
      <c r="A242" s="134">
        <v>15</v>
      </c>
      <c r="B242" s="135" t="s">
        <v>176</v>
      </c>
      <c r="C242" s="135" t="s">
        <v>177</v>
      </c>
      <c r="D242" s="135" t="s">
        <v>178</v>
      </c>
      <c r="E242" s="309" t="s">
        <v>126</v>
      </c>
      <c r="F242" s="167" t="s">
        <v>126</v>
      </c>
      <c r="G242" s="295">
        <v>0.1</v>
      </c>
      <c r="H242" s="140">
        <v>0.02</v>
      </c>
      <c r="I242" s="168">
        <v>1</v>
      </c>
      <c r="J242" s="167" t="s">
        <v>163</v>
      </c>
      <c r="K242" s="167"/>
      <c r="L242" s="135" t="s">
        <v>966</v>
      </c>
    </row>
    <row r="243" spans="1:12" x14ac:dyDescent="0.3">
      <c r="A243" s="134">
        <v>15</v>
      </c>
      <c r="B243" s="135" t="s">
        <v>176</v>
      </c>
      <c r="C243" s="135" t="s">
        <v>177</v>
      </c>
      <c r="D243" s="135" t="s">
        <v>178</v>
      </c>
      <c r="E243" s="309"/>
      <c r="F243" s="167" t="s">
        <v>126</v>
      </c>
      <c r="G243" s="295"/>
      <c r="H243" s="140">
        <v>0.02</v>
      </c>
      <c r="I243" s="164" t="s">
        <v>146</v>
      </c>
      <c r="J243" s="167" t="s">
        <v>162</v>
      </c>
      <c r="K243" s="167"/>
      <c r="L243" s="135" t="s">
        <v>966</v>
      </c>
    </row>
    <row r="244" spans="1:12" x14ac:dyDescent="0.3">
      <c r="A244" s="134">
        <v>15</v>
      </c>
      <c r="B244" s="135" t="s">
        <v>176</v>
      </c>
      <c r="C244" s="135" t="s">
        <v>177</v>
      </c>
      <c r="D244" s="135" t="s">
        <v>178</v>
      </c>
      <c r="E244" s="309"/>
      <c r="F244" s="167" t="s">
        <v>126</v>
      </c>
      <c r="G244" s="295"/>
      <c r="H244" s="140">
        <v>0.04</v>
      </c>
      <c r="I244" s="164">
        <v>3</v>
      </c>
      <c r="J244" s="167" t="s">
        <v>172</v>
      </c>
      <c r="K244" s="167"/>
      <c r="L244" s="135" t="s">
        <v>966</v>
      </c>
    </row>
    <row r="245" spans="1:12" x14ac:dyDescent="0.3">
      <c r="A245" s="134">
        <v>15</v>
      </c>
      <c r="B245" s="135" t="s">
        <v>176</v>
      </c>
      <c r="C245" s="135" t="s">
        <v>177</v>
      </c>
      <c r="D245" s="135" t="s">
        <v>178</v>
      </c>
      <c r="E245" s="309"/>
      <c r="F245" s="167" t="s">
        <v>126</v>
      </c>
      <c r="G245" s="295">
        <v>0.1</v>
      </c>
      <c r="H245" s="140">
        <v>0.02</v>
      </c>
      <c r="I245" s="164">
        <v>0</v>
      </c>
      <c r="J245" s="167" t="s">
        <v>164</v>
      </c>
      <c r="K245" s="167"/>
      <c r="L245" s="135" t="s">
        <v>966</v>
      </c>
    </row>
    <row r="246" spans="1:12" x14ac:dyDescent="0.3">
      <c r="A246" s="134">
        <v>15</v>
      </c>
      <c r="B246" s="135" t="s">
        <v>176</v>
      </c>
      <c r="C246" s="135" t="s">
        <v>177</v>
      </c>
      <c r="D246" s="135" t="s">
        <v>178</v>
      </c>
      <c r="E246" s="309" t="s">
        <v>179</v>
      </c>
      <c r="F246" s="167" t="s">
        <v>179</v>
      </c>
      <c r="G246" s="295">
        <v>0.05</v>
      </c>
      <c r="H246" s="140">
        <v>0.03</v>
      </c>
      <c r="I246" s="164" t="s">
        <v>180</v>
      </c>
      <c r="J246" s="175" t="s">
        <v>181</v>
      </c>
      <c r="K246" s="175"/>
      <c r="L246" s="135" t="s">
        <v>966</v>
      </c>
    </row>
    <row r="247" spans="1:12" x14ac:dyDescent="0.3">
      <c r="A247" s="134">
        <v>15</v>
      </c>
      <c r="B247" s="135" t="s">
        <v>176</v>
      </c>
      <c r="C247" s="135" t="s">
        <v>177</v>
      </c>
      <c r="D247" s="135" t="s">
        <v>178</v>
      </c>
      <c r="E247" s="309"/>
      <c r="F247" s="167" t="s">
        <v>179</v>
      </c>
      <c r="G247" s="295">
        <v>0.05</v>
      </c>
      <c r="H247" s="140">
        <v>0.01</v>
      </c>
      <c r="I247" s="168">
        <v>1</v>
      </c>
      <c r="J247" s="175" t="s">
        <v>182</v>
      </c>
      <c r="K247" s="175"/>
      <c r="L247" s="135" t="s">
        <v>966</v>
      </c>
    </row>
    <row r="248" spans="1:12" x14ac:dyDescent="0.3">
      <c r="A248" s="134">
        <v>15</v>
      </c>
      <c r="B248" s="135" t="s">
        <v>176</v>
      </c>
      <c r="C248" s="135" t="s">
        <v>177</v>
      </c>
      <c r="D248" s="135" t="s">
        <v>178</v>
      </c>
      <c r="E248" s="309"/>
      <c r="F248" s="167" t="s">
        <v>179</v>
      </c>
      <c r="G248" s="295">
        <v>0.05</v>
      </c>
      <c r="H248" s="140">
        <v>0.01</v>
      </c>
      <c r="I248" s="138">
        <v>0.05</v>
      </c>
      <c r="J248" s="175" t="s">
        <v>183</v>
      </c>
      <c r="K248" s="175"/>
      <c r="L248" s="135" t="s">
        <v>966</v>
      </c>
    </row>
    <row r="249" spans="1:12" x14ac:dyDescent="0.3">
      <c r="A249" s="134">
        <v>15</v>
      </c>
      <c r="B249" s="135" t="s">
        <v>176</v>
      </c>
      <c r="C249" s="135" t="s">
        <v>177</v>
      </c>
      <c r="D249" s="135" t="s">
        <v>178</v>
      </c>
      <c r="E249" s="309" t="s">
        <v>165</v>
      </c>
      <c r="F249" s="167" t="s">
        <v>165</v>
      </c>
      <c r="G249" s="295">
        <v>0.15</v>
      </c>
      <c r="H249" s="140">
        <v>0.05</v>
      </c>
      <c r="I249" s="164">
        <v>3</v>
      </c>
      <c r="J249" s="167" t="s">
        <v>184</v>
      </c>
      <c r="K249" s="167"/>
      <c r="L249" s="135" t="s">
        <v>966</v>
      </c>
    </row>
    <row r="250" spans="1:12" x14ac:dyDescent="0.3">
      <c r="A250" s="134">
        <v>15</v>
      </c>
      <c r="B250" s="135" t="s">
        <v>176</v>
      </c>
      <c r="C250" s="135" t="s">
        <v>177</v>
      </c>
      <c r="D250" s="135" t="s">
        <v>178</v>
      </c>
      <c r="E250" s="309"/>
      <c r="F250" s="167" t="s">
        <v>165</v>
      </c>
      <c r="G250" s="295"/>
      <c r="H250" s="140">
        <v>0.02</v>
      </c>
      <c r="I250" s="164">
        <v>2</v>
      </c>
      <c r="J250" s="167" t="s">
        <v>167</v>
      </c>
      <c r="K250" s="167"/>
      <c r="L250" s="135" t="s">
        <v>966</v>
      </c>
    </row>
    <row r="251" spans="1:12" x14ac:dyDescent="0.3">
      <c r="A251" s="134">
        <v>15</v>
      </c>
      <c r="B251" s="135" t="s">
        <v>176</v>
      </c>
      <c r="C251" s="135" t="s">
        <v>177</v>
      </c>
      <c r="D251" s="135" t="s">
        <v>178</v>
      </c>
      <c r="E251" s="309"/>
      <c r="F251" s="167" t="s">
        <v>165</v>
      </c>
      <c r="G251" s="295"/>
      <c r="H251" s="140">
        <v>0.05</v>
      </c>
      <c r="I251" s="138">
        <v>0.95</v>
      </c>
      <c r="J251" s="135" t="s">
        <v>175</v>
      </c>
      <c r="K251" s="135"/>
      <c r="L251" s="135" t="s">
        <v>966</v>
      </c>
    </row>
    <row r="252" spans="1:12" x14ac:dyDescent="0.3">
      <c r="A252" s="134">
        <v>15</v>
      </c>
      <c r="B252" s="135" t="s">
        <v>176</v>
      </c>
      <c r="C252" s="135" t="s">
        <v>177</v>
      </c>
      <c r="D252" s="135" t="s">
        <v>178</v>
      </c>
      <c r="E252" s="309"/>
      <c r="F252" s="167" t="s">
        <v>165</v>
      </c>
      <c r="G252" s="295"/>
      <c r="H252" s="140">
        <v>0.03</v>
      </c>
      <c r="I252" s="138">
        <v>1</v>
      </c>
      <c r="J252" s="167" t="s">
        <v>166</v>
      </c>
      <c r="K252" s="167"/>
      <c r="L252" s="135" t="s">
        <v>966</v>
      </c>
    </row>
    <row r="253" spans="1:12" ht="14.55" customHeight="1" x14ac:dyDescent="0.3">
      <c r="A253" s="134">
        <v>16</v>
      </c>
      <c r="B253" s="135" t="s">
        <v>185</v>
      </c>
      <c r="C253" s="135" t="s">
        <v>186</v>
      </c>
      <c r="D253" s="135" t="s">
        <v>187</v>
      </c>
      <c r="E253" s="312" t="s">
        <v>188</v>
      </c>
      <c r="F253" s="137" t="s">
        <v>188</v>
      </c>
      <c r="G253" s="306">
        <v>0.4</v>
      </c>
      <c r="H253" s="138">
        <v>0.2</v>
      </c>
      <c r="I253" s="176">
        <v>1</v>
      </c>
      <c r="J253" s="135" t="s">
        <v>189</v>
      </c>
      <c r="K253" s="135"/>
      <c r="L253" s="135" t="s">
        <v>203</v>
      </c>
    </row>
    <row r="254" spans="1:12" ht="43.2" x14ac:dyDescent="0.3">
      <c r="A254" s="134">
        <v>16</v>
      </c>
      <c r="B254" s="135" t="s">
        <v>185</v>
      </c>
      <c r="C254" s="135" t="s">
        <v>186</v>
      </c>
      <c r="D254" s="135" t="s">
        <v>187</v>
      </c>
      <c r="E254" s="312"/>
      <c r="F254" s="137" t="s">
        <v>188</v>
      </c>
      <c r="G254" s="306"/>
      <c r="H254" s="138">
        <v>0.2</v>
      </c>
      <c r="I254" s="176">
        <v>1</v>
      </c>
      <c r="J254" s="135" t="s">
        <v>190</v>
      </c>
      <c r="K254" s="135"/>
      <c r="L254" s="135" t="s">
        <v>203</v>
      </c>
    </row>
    <row r="255" spans="1:12" x14ac:dyDescent="0.3">
      <c r="A255" s="134">
        <v>16</v>
      </c>
      <c r="B255" s="135" t="s">
        <v>185</v>
      </c>
      <c r="C255" s="135" t="s">
        <v>186</v>
      </c>
      <c r="D255" s="135" t="s">
        <v>187</v>
      </c>
      <c r="E255" s="296" t="s">
        <v>191</v>
      </c>
      <c r="F255" s="137" t="s">
        <v>191</v>
      </c>
      <c r="G255" s="297">
        <v>0.4</v>
      </c>
      <c r="H255" s="138">
        <v>0.2</v>
      </c>
      <c r="I255" s="177">
        <v>0.9</v>
      </c>
      <c r="J255" s="135" t="s">
        <v>192</v>
      </c>
      <c r="K255" s="135"/>
      <c r="L255" s="135" t="s">
        <v>203</v>
      </c>
    </row>
    <row r="256" spans="1:12" x14ac:dyDescent="0.3">
      <c r="A256" s="134">
        <v>16</v>
      </c>
      <c r="B256" s="135" t="s">
        <v>185</v>
      </c>
      <c r="C256" s="135" t="s">
        <v>186</v>
      </c>
      <c r="D256" s="135" t="s">
        <v>187</v>
      </c>
      <c r="E256" s="296"/>
      <c r="F256" s="137" t="s">
        <v>191</v>
      </c>
      <c r="G256" s="297"/>
      <c r="H256" s="138">
        <v>0.15</v>
      </c>
      <c r="I256" s="135" t="s">
        <v>193</v>
      </c>
      <c r="J256" s="135" t="s">
        <v>194</v>
      </c>
      <c r="K256" s="135"/>
      <c r="L256" s="135" t="s">
        <v>203</v>
      </c>
    </row>
    <row r="257" spans="1:12" x14ac:dyDescent="0.3">
      <c r="A257" s="134">
        <v>16</v>
      </c>
      <c r="B257" s="135" t="s">
        <v>185</v>
      </c>
      <c r="C257" s="135" t="s">
        <v>186</v>
      </c>
      <c r="D257" s="135" t="s">
        <v>187</v>
      </c>
      <c r="E257" s="296"/>
      <c r="F257" s="137" t="s">
        <v>191</v>
      </c>
      <c r="G257" s="297"/>
      <c r="H257" s="138">
        <v>0.05</v>
      </c>
      <c r="I257" s="135" t="s">
        <v>195</v>
      </c>
      <c r="J257" s="135" t="s">
        <v>196</v>
      </c>
      <c r="K257" s="135"/>
      <c r="L257" s="135" t="s">
        <v>203</v>
      </c>
    </row>
    <row r="258" spans="1:12" ht="14.55" customHeight="1" x14ac:dyDescent="0.3">
      <c r="A258" s="134">
        <v>16</v>
      </c>
      <c r="B258" s="135" t="s">
        <v>185</v>
      </c>
      <c r="C258" s="135" t="s">
        <v>186</v>
      </c>
      <c r="D258" s="135" t="s">
        <v>187</v>
      </c>
      <c r="E258" s="296" t="s">
        <v>197</v>
      </c>
      <c r="F258" s="137" t="s">
        <v>197</v>
      </c>
      <c r="G258" s="297">
        <v>0.2</v>
      </c>
      <c r="H258" s="138">
        <v>0.1</v>
      </c>
      <c r="I258" s="177">
        <v>1</v>
      </c>
      <c r="J258" s="135" t="s">
        <v>198</v>
      </c>
      <c r="K258" s="135"/>
      <c r="L258" s="135" t="s">
        <v>203</v>
      </c>
    </row>
    <row r="259" spans="1:12" ht="43.2" x14ac:dyDescent="0.3">
      <c r="A259" s="134">
        <v>16</v>
      </c>
      <c r="B259" s="135" t="s">
        <v>185</v>
      </c>
      <c r="C259" s="135" t="s">
        <v>186</v>
      </c>
      <c r="D259" s="135" t="s">
        <v>187</v>
      </c>
      <c r="E259" s="296"/>
      <c r="F259" s="137" t="s">
        <v>197</v>
      </c>
      <c r="G259" s="297"/>
      <c r="H259" s="138">
        <v>0.1</v>
      </c>
      <c r="I259" s="135" t="s">
        <v>193</v>
      </c>
      <c r="J259" s="135" t="s">
        <v>199</v>
      </c>
      <c r="K259" s="135"/>
      <c r="L259" s="135" t="s">
        <v>203</v>
      </c>
    </row>
    <row r="260" spans="1:12" ht="14.55" customHeight="1" x14ac:dyDescent="0.3">
      <c r="A260" s="143">
        <v>17</v>
      </c>
      <c r="B260" s="143" t="s">
        <v>200</v>
      </c>
      <c r="C260" s="143" t="s">
        <v>201</v>
      </c>
      <c r="D260" s="144" t="s">
        <v>187</v>
      </c>
      <c r="E260" s="315" t="s">
        <v>188</v>
      </c>
      <c r="F260" s="146" t="s">
        <v>188</v>
      </c>
      <c r="G260" s="305">
        <v>0.4</v>
      </c>
      <c r="H260" s="147">
        <v>0.2</v>
      </c>
      <c r="I260" s="178">
        <v>1</v>
      </c>
      <c r="J260" s="144" t="s">
        <v>189</v>
      </c>
      <c r="K260" s="144"/>
      <c r="L260" s="144" t="s">
        <v>203</v>
      </c>
    </row>
    <row r="261" spans="1:12" ht="43.2" x14ac:dyDescent="0.3">
      <c r="A261" s="143">
        <v>17</v>
      </c>
      <c r="B261" s="143" t="s">
        <v>200</v>
      </c>
      <c r="C261" s="143" t="s">
        <v>201</v>
      </c>
      <c r="D261" s="144" t="s">
        <v>187</v>
      </c>
      <c r="E261" s="315"/>
      <c r="F261" s="146" t="s">
        <v>188</v>
      </c>
      <c r="G261" s="305"/>
      <c r="H261" s="179">
        <v>0.2</v>
      </c>
      <c r="I261" s="180">
        <v>1</v>
      </c>
      <c r="J261" s="144" t="s">
        <v>190</v>
      </c>
      <c r="K261" s="144"/>
      <c r="L261" s="144" t="s">
        <v>203</v>
      </c>
    </row>
    <row r="262" spans="1:12" x14ac:dyDescent="0.3">
      <c r="A262" s="143">
        <v>17</v>
      </c>
      <c r="B262" s="143" t="s">
        <v>200</v>
      </c>
      <c r="C262" s="143" t="s">
        <v>201</v>
      </c>
      <c r="D262" s="144" t="s">
        <v>187</v>
      </c>
      <c r="E262" s="300" t="s">
        <v>191</v>
      </c>
      <c r="F262" s="146" t="s">
        <v>191</v>
      </c>
      <c r="G262" s="301">
        <v>0.4</v>
      </c>
      <c r="H262" s="147">
        <v>0.2</v>
      </c>
      <c r="I262" s="181">
        <v>0.9</v>
      </c>
      <c r="J262" s="144" t="s">
        <v>192</v>
      </c>
      <c r="K262" s="144"/>
      <c r="L262" s="144" t="s">
        <v>203</v>
      </c>
    </row>
    <row r="263" spans="1:12" x14ac:dyDescent="0.3">
      <c r="A263" s="143">
        <v>17</v>
      </c>
      <c r="B263" s="143" t="s">
        <v>200</v>
      </c>
      <c r="C263" s="143" t="s">
        <v>201</v>
      </c>
      <c r="D263" s="144" t="s">
        <v>187</v>
      </c>
      <c r="E263" s="300"/>
      <c r="F263" s="146" t="s">
        <v>191</v>
      </c>
      <c r="G263" s="301"/>
      <c r="H263" s="147">
        <v>0.15</v>
      </c>
      <c r="I263" s="144" t="s">
        <v>193</v>
      </c>
      <c r="J263" s="144" t="s">
        <v>194</v>
      </c>
      <c r="K263" s="144"/>
      <c r="L263" s="144" t="s">
        <v>203</v>
      </c>
    </row>
    <row r="264" spans="1:12" x14ac:dyDescent="0.3">
      <c r="A264" s="143">
        <v>17</v>
      </c>
      <c r="B264" s="143" t="s">
        <v>200</v>
      </c>
      <c r="C264" s="143" t="s">
        <v>201</v>
      </c>
      <c r="D264" s="144" t="s">
        <v>187</v>
      </c>
      <c r="E264" s="300"/>
      <c r="F264" s="146" t="s">
        <v>191</v>
      </c>
      <c r="G264" s="301"/>
      <c r="H264" s="147">
        <v>0.05</v>
      </c>
      <c r="I264" s="144" t="s">
        <v>195</v>
      </c>
      <c r="J264" s="144" t="s">
        <v>196</v>
      </c>
      <c r="K264" s="144"/>
      <c r="L264" s="144" t="s">
        <v>203</v>
      </c>
    </row>
    <row r="265" spans="1:12" ht="14.55" customHeight="1" x14ac:dyDescent="0.3">
      <c r="A265" s="143">
        <v>17</v>
      </c>
      <c r="B265" s="143" t="s">
        <v>200</v>
      </c>
      <c r="C265" s="143" t="s">
        <v>201</v>
      </c>
      <c r="D265" s="144" t="s">
        <v>187</v>
      </c>
      <c r="E265" s="300" t="s">
        <v>197</v>
      </c>
      <c r="F265" s="146" t="s">
        <v>197</v>
      </c>
      <c r="G265" s="301">
        <v>0.2</v>
      </c>
      <c r="H265" s="147">
        <v>0.1</v>
      </c>
      <c r="I265" s="181">
        <v>1</v>
      </c>
      <c r="J265" s="144" t="s">
        <v>198</v>
      </c>
      <c r="K265" s="144"/>
      <c r="L265" s="144" t="s">
        <v>203</v>
      </c>
    </row>
    <row r="266" spans="1:12" ht="43.2" x14ac:dyDescent="0.3">
      <c r="A266" s="143">
        <v>17</v>
      </c>
      <c r="B266" s="143" t="s">
        <v>200</v>
      </c>
      <c r="C266" s="143" t="s">
        <v>201</v>
      </c>
      <c r="D266" s="144" t="s">
        <v>187</v>
      </c>
      <c r="E266" s="300"/>
      <c r="F266" s="146" t="s">
        <v>197</v>
      </c>
      <c r="G266" s="301"/>
      <c r="H266" s="147">
        <v>0.1</v>
      </c>
      <c r="I266" s="144" t="s">
        <v>193</v>
      </c>
      <c r="J266" s="144" t="s">
        <v>199</v>
      </c>
      <c r="K266" s="144"/>
      <c r="L266" s="144" t="s">
        <v>203</v>
      </c>
    </row>
    <row r="267" spans="1:12" ht="14.55" customHeight="1" x14ac:dyDescent="0.3">
      <c r="A267" s="134">
        <v>18</v>
      </c>
      <c r="B267" s="135" t="s">
        <v>202</v>
      </c>
      <c r="C267" s="135" t="s">
        <v>203</v>
      </c>
      <c r="D267" s="135" t="s">
        <v>204</v>
      </c>
      <c r="E267" s="313" t="s">
        <v>188</v>
      </c>
      <c r="F267" s="137" t="s">
        <v>188</v>
      </c>
      <c r="G267" s="314">
        <v>0.2</v>
      </c>
      <c r="H267" s="138">
        <v>0.08</v>
      </c>
      <c r="I267" s="176">
        <v>1</v>
      </c>
      <c r="J267" s="135" t="s">
        <v>189</v>
      </c>
      <c r="K267" s="135"/>
      <c r="L267" s="135" t="s">
        <v>966</v>
      </c>
    </row>
    <row r="268" spans="1:12" ht="43.2" x14ac:dyDescent="0.3">
      <c r="A268" s="134">
        <v>18</v>
      </c>
      <c r="B268" s="135" t="s">
        <v>202</v>
      </c>
      <c r="C268" s="135" t="s">
        <v>203</v>
      </c>
      <c r="D268" s="135" t="s">
        <v>204</v>
      </c>
      <c r="E268" s="313"/>
      <c r="F268" s="137" t="s">
        <v>188</v>
      </c>
      <c r="G268" s="312"/>
      <c r="H268" s="138">
        <v>0.08</v>
      </c>
      <c r="I268" s="135" t="s">
        <v>151</v>
      </c>
      <c r="J268" s="135" t="s">
        <v>205</v>
      </c>
      <c r="K268" s="135"/>
      <c r="L268" s="135" t="s">
        <v>966</v>
      </c>
    </row>
    <row r="269" spans="1:12" ht="43.2" x14ac:dyDescent="0.3">
      <c r="A269" s="134">
        <v>18</v>
      </c>
      <c r="B269" s="135" t="s">
        <v>202</v>
      </c>
      <c r="C269" s="135" t="s">
        <v>203</v>
      </c>
      <c r="D269" s="135" t="s">
        <v>204</v>
      </c>
      <c r="E269" s="313"/>
      <c r="F269" s="137" t="s">
        <v>188</v>
      </c>
      <c r="G269" s="312"/>
      <c r="H269" s="138">
        <v>0.04</v>
      </c>
      <c r="I269" s="135" t="s">
        <v>206</v>
      </c>
      <c r="J269" s="135" t="s">
        <v>207</v>
      </c>
      <c r="K269" s="135"/>
      <c r="L269" s="135" t="s">
        <v>966</v>
      </c>
    </row>
    <row r="270" spans="1:12" ht="14.55" customHeight="1" x14ac:dyDescent="0.3">
      <c r="A270" s="134">
        <v>18</v>
      </c>
      <c r="B270" s="135" t="s">
        <v>202</v>
      </c>
      <c r="C270" s="135" t="s">
        <v>203</v>
      </c>
      <c r="D270" s="135" t="s">
        <v>204</v>
      </c>
      <c r="E270" s="313" t="s">
        <v>208</v>
      </c>
      <c r="F270" s="137" t="s">
        <v>208</v>
      </c>
      <c r="G270" s="314">
        <v>0.15</v>
      </c>
      <c r="H270" s="138">
        <v>0.05</v>
      </c>
      <c r="I270" s="177">
        <v>1</v>
      </c>
      <c r="J270" s="135" t="s">
        <v>209</v>
      </c>
      <c r="K270" s="135"/>
      <c r="L270" s="135" t="s">
        <v>966</v>
      </c>
    </row>
    <row r="271" spans="1:12" ht="43.2" x14ac:dyDescent="0.3">
      <c r="A271" s="134">
        <v>18</v>
      </c>
      <c r="B271" s="135" t="s">
        <v>202</v>
      </c>
      <c r="C271" s="135" t="s">
        <v>203</v>
      </c>
      <c r="D271" s="135" t="s">
        <v>204</v>
      </c>
      <c r="E271" s="313"/>
      <c r="F271" s="137" t="s">
        <v>208</v>
      </c>
      <c r="G271" s="312"/>
      <c r="H271" s="138">
        <v>0.05</v>
      </c>
      <c r="I271" s="135">
        <v>0</v>
      </c>
      <c r="J271" s="135" t="s">
        <v>210</v>
      </c>
      <c r="K271" s="135"/>
      <c r="L271" s="135" t="s">
        <v>966</v>
      </c>
    </row>
    <row r="272" spans="1:12" ht="43.2" x14ac:dyDescent="0.3">
      <c r="A272" s="134">
        <v>18</v>
      </c>
      <c r="B272" s="135" t="s">
        <v>202</v>
      </c>
      <c r="C272" s="135" t="s">
        <v>203</v>
      </c>
      <c r="D272" s="135" t="s">
        <v>204</v>
      </c>
      <c r="E272" s="313"/>
      <c r="F272" s="137" t="s">
        <v>208</v>
      </c>
      <c r="G272" s="312"/>
      <c r="H272" s="138">
        <v>0.02</v>
      </c>
      <c r="I272" s="177">
        <v>0.95</v>
      </c>
      <c r="J272" s="135" t="s">
        <v>211</v>
      </c>
      <c r="K272" s="135"/>
      <c r="L272" s="135" t="s">
        <v>966</v>
      </c>
    </row>
    <row r="273" spans="1:12" ht="43.2" x14ac:dyDescent="0.3">
      <c r="A273" s="134">
        <v>18</v>
      </c>
      <c r="B273" s="135" t="s">
        <v>202</v>
      </c>
      <c r="C273" s="135" t="s">
        <v>203</v>
      </c>
      <c r="D273" s="135" t="s">
        <v>204</v>
      </c>
      <c r="E273" s="313"/>
      <c r="F273" s="137" t="s">
        <v>208</v>
      </c>
      <c r="G273" s="312"/>
      <c r="H273" s="138">
        <v>0.03</v>
      </c>
      <c r="I273" s="135" t="s">
        <v>212</v>
      </c>
      <c r="J273" s="135" t="s">
        <v>213</v>
      </c>
      <c r="K273" s="135"/>
      <c r="L273" s="135" t="s">
        <v>966</v>
      </c>
    </row>
    <row r="274" spans="1:12" ht="14.55" customHeight="1" x14ac:dyDescent="0.3">
      <c r="A274" s="134">
        <v>18</v>
      </c>
      <c r="B274" s="135" t="s">
        <v>202</v>
      </c>
      <c r="C274" s="135" t="s">
        <v>203</v>
      </c>
      <c r="D274" s="135" t="s">
        <v>204</v>
      </c>
      <c r="E274" s="313" t="s">
        <v>214</v>
      </c>
      <c r="F274" s="137" t="s">
        <v>214</v>
      </c>
      <c r="G274" s="314">
        <v>0.15</v>
      </c>
      <c r="H274" s="138">
        <v>0.05</v>
      </c>
      <c r="I274" s="135" t="s">
        <v>215</v>
      </c>
      <c r="J274" s="135" t="s">
        <v>216</v>
      </c>
      <c r="K274" s="135"/>
      <c r="L274" s="135" t="s">
        <v>966</v>
      </c>
    </row>
    <row r="275" spans="1:12" ht="57.6" x14ac:dyDescent="0.3">
      <c r="A275" s="134">
        <v>18</v>
      </c>
      <c r="B275" s="135" t="s">
        <v>202</v>
      </c>
      <c r="C275" s="135" t="s">
        <v>203</v>
      </c>
      <c r="D275" s="135" t="s">
        <v>204</v>
      </c>
      <c r="E275" s="313"/>
      <c r="F275" s="137" t="s">
        <v>214</v>
      </c>
      <c r="G275" s="312"/>
      <c r="H275" s="138">
        <v>0.05</v>
      </c>
      <c r="I275" s="177">
        <v>1</v>
      </c>
      <c r="J275" s="135" t="s">
        <v>217</v>
      </c>
      <c r="K275" s="135"/>
      <c r="L275" s="135" t="s">
        <v>966</v>
      </c>
    </row>
    <row r="276" spans="1:12" ht="57.6" x14ac:dyDescent="0.3">
      <c r="A276" s="134">
        <v>18</v>
      </c>
      <c r="B276" s="135" t="s">
        <v>202</v>
      </c>
      <c r="C276" s="135" t="s">
        <v>203</v>
      </c>
      <c r="D276" s="135" t="s">
        <v>204</v>
      </c>
      <c r="E276" s="313"/>
      <c r="F276" s="137" t="s">
        <v>214</v>
      </c>
      <c r="G276" s="312"/>
      <c r="H276" s="138">
        <v>0.02</v>
      </c>
      <c r="I276" s="177">
        <v>1</v>
      </c>
      <c r="J276" s="135" t="s">
        <v>218</v>
      </c>
      <c r="K276" s="135"/>
      <c r="L276" s="135" t="s">
        <v>966</v>
      </c>
    </row>
    <row r="277" spans="1:12" ht="57.6" x14ac:dyDescent="0.3">
      <c r="A277" s="134">
        <v>18</v>
      </c>
      <c r="B277" s="135" t="s">
        <v>202</v>
      </c>
      <c r="C277" s="135" t="s">
        <v>203</v>
      </c>
      <c r="D277" s="135" t="s">
        <v>204</v>
      </c>
      <c r="E277" s="313"/>
      <c r="F277" s="137" t="s">
        <v>214</v>
      </c>
      <c r="G277" s="312"/>
      <c r="H277" s="138">
        <v>0.03</v>
      </c>
      <c r="I277" s="135" t="s">
        <v>212</v>
      </c>
      <c r="J277" s="135" t="s">
        <v>219</v>
      </c>
      <c r="K277" s="135"/>
      <c r="L277" s="135" t="s">
        <v>966</v>
      </c>
    </row>
    <row r="278" spans="1:12" x14ac:dyDescent="0.3">
      <c r="A278" s="134">
        <v>18</v>
      </c>
      <c r="B278" s="135" t="s">
        <v>202</v>
      </c>
      <c r="C278" s="135" t="s">
        <v>203</v>
      </c>
      <c r="D278" s="135" t="s">
        <v>204</v>
      </c>
      <c r="E278" s="313" t="s">
        <v>191</v>
      </c>
      <c r="F278" s="137" t="s">
        <v>191</v>
      </c>
      <c r="G278" s="314">
        <v>0.15</v>
      </c>
      <c r="H278" s="138">
        <v>0.05</v>
      </c>
      <c r="I278" s="177">
        <v>0.9</v>
      </c>
      <c r="J278" s="135" t="s">
        <v>192</v>
      </c>
      <c r="K278" s="135"/>
      <c r="L278" s="135" t="s">
        <v>966</v>
      </c>
    </row>
    <row r="279" spans="1:12" x14ac:dyDescent="0.3">
      <c r="A279" s="134">
        <v>18</v>
      </c>
      <c r="B279" s="135" t="s">
        <v>202</v>
      </c>
      <c r="C279" s="135" t="s">
        <v>203</v>
      </c>
      <c r="D279" s="135" t="s">
        <v>204</v>
      </c>
      <c r="E279" s="313"/>
      <c r="F279" s="137" t="s">
        <v>191</v>
      </c>
      <c r="G279" s="312"/>
      <c r="H279" s="138">
        <v>0.02</v>
      </c>
      <c r="I279" s="135" t="s">
        <v>193</v>
      </c>
      <c r="J279" s="135" t="s">
        <v>194</v>
      </c>
      <c r="K279" s="135"/>
      <c r="L279" s="135" t="s">
        <v>966</v>
      </c>
    </row>
    <row r="280" spans="1:12" x14ac:dyDescent="0.3">
      <c r="A280" s="134">
        <v>18</v>
      </c>
      <c r="B280" s="135" t="s">
        <v>202</v>
      </c>
      <c r="C280" s="135" t="s">
        <v>203</v>
      </c>
      <c r="D280" s="135" t="s">
        <v>204</v>
      </c>
      <c r="E280" s="313"/>
      <c r="F280" s="137" t="s">
        <v>191</v>
      </c>
      <c r="G280" s="312"/>
      <c r="H280" s="138">
        <v>0.05</v>
      </c>
      <c r="I280" s="177">
        <v>1</v>
      </c>
      <c r="J280" s="135" t="s">
        <v>220</v>
      </c>
      <c r="K280" s="135"/>
      <c r="L280" s="135" t="s">
        <v>966</v>
      </c>
    </row>
    <row r="281" spans="1:12" x14ac:dyDescent="0.3">
      <c r="A281" s="134">
        <v>18</v>
      </c>
      <c r="B281" s="135" t="s">
        <v>202</v>
      </c>
      <c r="C281" s="135" t="s">
        <v>203</v>
      </c>
      <c r="D281" s="135" t="s">
        <v>204</v>
      </c>
      <c r="E281" s="313"/>
      <c r="F281" s="137" t="s">
        <v>191</v>
      </c>
      <c r="G281" s="312"/>
      <c r="H281" s="138">
        <v>0.03</v>
      </c>
      <c r="I281" s="135" t="s">
        <v>195</v>
      </c>
      <c r="J281" s="135" t="s">
        <v>196</v>
      </c>
      <c r="K281" s="135"/>
      <c r="L281" s="135" t="s">
        <v>966</v>
      </c>
    </row>
    <row r="282" spans="1:12" ht="14.55" customHeight="1" x14ac:dyDescent="0.3">
      <c r="A282" s="134">
        <v>18</v>
      </c>
      <c r="B282" s="135" t="s">
        <v>202</v>
      </c>
      <c r="C282" s="135" t="s">
        <v>203</v>
      </c>
      <c r="D282" s="135" t="s">
        <v>204</v>
      </c>
      <c r="E282" s="313" t="s">
        <v>221</v>
      </c>
      <c r="F282" s="137" t="s">
        <v>221</v>
      </c>
      <c r="G282" s="314">
        <v>0.1</v>
      </c>
      <c r="H282" s="138">
        <v>0.02</v>
      </c>
      <c r="I282" s="135" t="s">
        <v>222</v>
      </c>
      <c r="J282" s="135" t="s">
        <v>223</v>
      </c>
      <c r="K282" s="135"/>
      <c r="L282" s="135" t="s">
        <v>966</v>
      </c>
    </row>
    <row r="283" spans="1:12" ht="28.8" x14ac:dyDescent="0.3">
      <c r="A283" s="134">
        <v>18</v>
      </c>
      <c r="B283" s="135" t="s">
        <v>202</v>
      </c>
      <c r="C283" s="135" t="s">
        <v>203</v>
      </c>
      <c r="D283" s="135" t="s">
        <v>204</v>
      </c>
      <c r="E283" s="313"/>
      <c r="F283" s="137" t="s">
        <v>221</v>
      </c>
      <c r="G283" s="312"/>
      <c r="H283" s="138">
        <v>0.02</v>
      </c>
      <c r="I283" s="135" t="s">
        <v>224</v>
      </c>
      <c r="J283" s="135" t="s">
        <v>225</v>
      </c>
      <c r="K283" s="135"/>
      <c r="L283" s="135" t="s">
        <v>966</v>
      </c>
    </row>
    <row r="284" spans="1:12" ht="28.8" x14ac:dyDescent="0.3">
      <c r="A284" s="134">
        <v>18</v>
      </c>
      <c r="B284" s="135" t="s">
        <v>202</v>
      </c>
      <c r="C284" s="135" t="s">
        <v>203</v>
      </c>
      <c r="D284" s="135" t="s">
        <v>204</v>
      </c>
      <c r="E284" s="313"/>
      <c r="F284" s="137" t="s">
        <v>221</v>
      </c>
      <c r="G284" s="312"/>
      <c r="H284" s="138">
        <v>0.06</v>
      </c>
      <c r="I284" s="135" t="s">
        <v>195</v>
      </c>
      <c r="J284" s="135" t="s">
        <v>226</v>
      </c>
      <c r="K284" s="135"/>
      <c r="L284" s="135" t="s">
        <v>966</v>
      </c>
    </row>
    <row r="285" spans="1:12" ht="14.55" customHeight="1" x14ac:dyDescent="0.3">
      <c r="A285" s="134">
        <v>18</v>
      </c>
      <c r="B285" s="135" t="s">
        <v>202</v>
      </c>
      <c r="C285" s="135" t="s">
        <v>203</v>
      </c>
      <c r="D285" s="135" t="s">
        <v>204</v>
      </c>
      <c r="E285" s="313" t="s">
        <v>197</v>
      </c>
      <c r="F285" s="137" t="s">
        <v>197</v>
      </c>
      <c r="G285" s="314">
        <v>0.1</v>
      </c>
      <c r="H285" s="138">
        <v>0.03</v>
      </c>
      <c r="I285" s="177">
        <v>1</v>
      </c>
      <c r="J285" s="135" t="s">
        <v>227</v>
      </c>
      <c r="K285" s="135"/>
      <c r="L285" s="135" t="s">
        <v>966</v>
      </c>
    </row>
    <row r="286" spans="1:12" ht="43.2" x14ac:dyDescent="0.3">
      <c r="A286" s="134">
        <v>18</v>
      </c>
      <c r="B286" s="135" t="s">
        <v>202</v>
      </c>
      <c r="C286" s="135" t="s">
        <v>203</v>
      </c>
      <c r="D286" s="135" t="s">
        <v>204</v>
      </c>
      <c r="E286" s="313"/>
      <c r="F286" s="137" t="s">
        <v>197</v>
      </c>
      <c r="G286" s="312"/>
      <c r="H286" s="138">
        <v>0.04</v>
      </c>
      <c r="I286" s="177">
        <v>1</v>
      </c>
      <c r="J286" s="135" t="s">
        <v>198</v>
      </c>
      <c r="K286" s="135"/>
      <c r="L286" s="135" t="s">
        <v>966</v>
      </c>
    </row>
    <row r="287" spans="1:12" ht="43.2" x14ac:dyDescent="0.3">
      <c r="A287" s="134">
        <v>18</v>
      </c>
      <c r="B287" s="135" t="s">
        <v>202</v>
      </c>
      <c r="C287" s="135" t="s">
        <v>203</v>
      </c>
      <c r="D287" s="135" t="s">
        <v>204</v>
      </c>
      <c r="E287" s="313"/>
      <c r="F287" s="137" t="s">
        <v>197</v>
      </c>
      <c r="G287" s="312"/>
      <c r="H287" s="138">
        <v>0.02</v>
      </c>
      <c r="I287" s="135" t="s">
        <v>193</v>
      </c>
      <c r="J287" s="135" t="s">
        <v>199</v>
      </c>
      <c r="K287" s="135"/>
      <c r="L287" s="135" t="s">
        <v>966</v>
      </c>
    </row>
    <row r="288" spans="1:12" ht="43.2" x14ac:dyDescent="0.3">
      <c r="A288" s="134">
        <v>18</v>
      </c>
      <c r="B288" s="135" t="s">
        <v>202</v>
      </c>
      <c r="C288" s="135" t="s">
        <v>203</v>
      </c>
      <c r="D288" s="135" t="s">
        <v>204</v>
      </c>
      <c r="E288" s="313"/>
      <c r="F288" s="137" t="s">
        <v>197</v>
      </c>
      <c r="G288" s="312"/>
      <c r="H288" s="138">
        <v>0.01</v>
      </c>
      <c r="I288" s="135" t="s">
        <v>228</v>
      </c>
      <c r="J288" s="135" t="s">
        <v>229</v>
      </c>
      <c r="K288" s="135"/>
      <c r="L288" s="135" t="s">
        <v>966</v>
      </c>
    </row>
    <row r="289" spans="1:12" ht="14.55" customHeight="1" x14ac:dyDescent="0.3">
      <c r="A289" s="134">
        <v>18</v>
      </c>
      <c r="B289" s="135" t="s">
        <v>202</v>
      </c>
      <c r="C289" s="135" t="s">
        <v>203</v>
      </c>
      <c r="D289" s="135" t="s">
        <v>204</v>
      </c>
      <c r="E289" s="313" t="s">
        <v>230</v>
      </c>
      <c r="F289" s="137" t="s">
        <v>230</v>
      </c>
      <c r="G289" s="314">
        <v>0.05</v>
      </c>
      <c r="H289" s="138">
        <v>0.02</v>
      </c>
      <c r="I289" s="177">
        <v>1</v>
      </c>
      <c r="J289" s="135" t="s">
        <v>231</v>
      </c>
      <c r="K289" s="135"/>
      <c r="L289" s="135" t="s">
        <v>966</v>
      </c>
    </row>
    <row r="290" spans="1:12" ht="28.8" x14ac:dyDescent="0.3">
      <c r="A290" s="134">
        <v>18</v>
      </c>
      <c r="B290" s="135" t="s">
        <v>202</v>
      </c>
      <c r="C290" s="135" t="s">
        <v>203</v>
      </c>
      <c r="D290" s="135" t="s">
        <v>204</v>
      </c>
      <c r="E290" s="313"/>
      <c r="F290" s="137" t="s">
        <v>230</v>
      </c>
      <c r="G290" s="312"/>
      <c r="H290" s="138">
        <v>0.01</v>
      </c>
      <c r="I290" s="135" t="s">
        <v>232</v>
      </c>
      <c r="J290" s="135" t="s">
        <v>233</v>
      </c>
      <c r="K290" s="135"/>
      <c r="L290" s="135" t="s">
        <v>966</v>
      </c>
    </row>
    <row r="291" spans="1:12" ht="28.8" x14ac:dyDescent="0.3">
      <c r="A291" s="134">
        <v>18</v>
      </c>
      <c r="B291" s="135" t="s">
        <v>202</v>
      </c>
      <c r="C291" s="135" t="s">
        <v>203</v>
      </c>
      <c r="D291" s="135" t="s">
        <v>204</v>
      </c>
      <c r="E291" s="313"/>
      <c r="F291" s="137" t="s">
        <v>230</v>
      </c>
      <c r="G291" s="312"/>
      <c r="H291" s="138">
        <v>0.01</v>
      </c>
      <c r="I291" s="135" t="s">
        <v>234</v>
      </c>
      <c r="J291" s="135" t="s">
        <v>235</v>
      </c>
      <c r="K291" s="135"/>
      <c r="L291" s="135" t="s">
        <v>966</v>
      </c>
    </row>
    <row r="292" spans="1:12" ht="28.8" x14ac:dyDescent="0.3">
      <c r="A292" s="134">
        <v>18</v>
      </c>
      <c r="B292" s="135" t="s">
        <v>202</v>
      </c>
      <c r="C292" s="135" t="s">
        <v>203</v>
      </c>
      <c r="D292" s="135" t="s">
        <v>204</v>
      </c>
      <c r="E292" s="313"/>
      <c r="F292" s="137" t="s">
        <v>230</v>
      </c>
      <c r="G292" s="312"/>
      <c r="H292" s="138">
        <v>0.01</v>
      </c>
      <c r="I292" s="135" t="s">
        <v>212</v>
      </c>
      <c r="J292" s="135" t="s">
        <v>236</v>
      </c>
      <c r="K292" s="135"/>
      <c r="L292" s="135" t="s">
        <v>966</v>
      </c>
    </row>
    <row r="293" spans="1:12" ht="14.55" customHeight="1" x14ac:dyDescent="0.3">
      <c r="A293" s="134">
        <v>18</v>
      </c>
      <c r="B293" s="135" t="s">
        <v>202</v>
      </c>
      <c r="C293" s="135" t="s">
        <v>203</v>
      </c>
      <c r="D293" s="135" t="s">
        <v>204</v>
      </c>
      <c r="E293" s="313" t="s">
        <v>237</v>
      </c>
      <c r="F293" s="137" t="s">
        <v>237</v>
      </c>
      <c r="G293" s="314">
        <v>0.1</v>
      </c>
      <c r="H293" s="138">
        <v>0.05</v>
      </c>
      <c r="I293" s="135" t="s">
        <v>232</v>
      </c>
      <c r="J293" s="175" t="s">
        <v>238</v>
      </c>
      <c r="K293" s="175"/>
      <c r="L293" s="135" t="s">
        <v>966</v>
      </c>
    </row>
    <row r="294" spans="1:12" ht="28.8" x14ac:dyDescent="0.3">
      <c r="A294" s="134">
        <v>18</v>
      </c>
      <c r="B294" s="135" t="s">
        <v>202</v>
      </c>
      <c r="C294" s="135" t="s">
        <v>203</v>
      </c>
      <c r="D294" s="135" t="s">
        <v>204</v>
      </c>
      <c r="E294" s="313"/>
      <c r="F294" s="137" t="s">
        <v>237</v>
      </c>
      <c r="G294" s="312"/>
      <c r="H294" s="138">
        <v>0.03</v>
      </c>
      <c r="I294" s="177">
        <v>1</v>
      </c>
      <c r="J294" s="175" t="s">
        <v>239</v>
      </c>
      <c r="K294" s="175"/>
      <c r="L294" s="135" t="s">
        <v>966</v>
      </c>
    </row>
    <row r="295" spans="1:12" ht="28.8" x14ac:dyDescent="0.3">
      <c r="A295" s="134">
        <v>18</v>
      </c>
      <c r="B295" s="135" t="s">
        <v>202</v>
      </c>
      <c r="C295" s="135" t="s">
        <v>203</v>
      </c>
      <c r="D295" s="135" t="s">
        <v>204</v>
      </c>
      <c r="E295" s="313"/>
      <c r="F295" s="137" t="s">
        <v>237</v>
      </c>
      <c r="G295" s="312"/>
      <c r="H295" s="138">
        <v>0.02</v>
      </c>
      <c r="I295" s="135" t="s">
        <v>224</v>
      </c>
      <c r="J295" s="175" t="s">
        <v>240</v>
      </c>
      <c r="K295" s="175"/>
      <c r="L295" s="135" t="s">
        <v>966</v>
      </c>
    </row>
    <row r="296" spans="1:12" ht="14.55" customHeight="1" x14ac:dyDescent="0.3">
      <c r="A296" s="143">
        <v>19</v>
      </c>
      <c r="B296" s="144" t="s">
        <v>241</v>
      </c>
      <c r="C296" s="144" t="s">
        <v>242</v>
      </c>
      <c r="D296" s="144" t="s">
        <v>243</v>
      </c>
      <c r="E296" s="300" t="s">
        <v>188</v>
      </c>
      <c r="F296" s="146" t="s">
        <v>188</v>
      </c>
      <c r="G296" s="301">
        <v>0.2</v>
      </c>
      <c r="H296" s="147">
        <v>0.15</v>
      </c>
      <c r="I296" s="144" t="s">
        <v>151</v>
      </c>
      <c r="J296" s="144" t="s">
        <v>205</v>
      </c>
      <c r="K296" s="144"/>
      <c r="L296" s="144" t="s">
        <v>203</v>
      </c>
    </row>
    <row r="297" spans="1:12" ht="43.2" x14ac:dyDescent="0.3">
      <c r="A297" s="143">
        <v>19</v>
      </c>
      <c r="B297" s="144" t="s">
        <v>241</v>
      </c>
      <c r="C297" s="144" t="s">
        <v>242</v>
      </c>
      <c r="D297" s="144" t="s">
        <v>243</v>
      </c>
      <c r="E297" s="300"/>
      <c r="F297" s="146" t="s">
        <v>188</v>
      </c>
      <c r="G297" s="301"/>
      <c r="H297" s="147">
        <v>0.05</v>
      </c>
      <c r="I297" s="144" t="s">
        <v>206</v>
      </c>
      <c r="J297" s="144" t="s">
        <v>207</v>
      </c>
      <c r="K297" s="144"/>
      <c r="L297" s="144" t="s">
        <v>203</v>
      </c>
    </row>
    <row r="298" spans="1:12" ht="14.55" customHeight="1" x14ac:dyDescent="0.3">
      <c r="A298" s="143">
        <v>19</v>
      </c>
      <c r="B298" s="144" t="s">
        <v>241</v>
      </c>
      <c r="C298" s="144" t="s">
        <v>242</v>
      </c>
      <c r="D298" s="144" t="s">
        <v>243</v>
      </c>
      <c r="E298" s="316" t="s">
        <v>208</v>
      </c>
      <c r="F298" s="146" t="s">
        <v>208</v>
      </c>
      <c r="G298" s="301">
        <v>0.3</v>
      </c>
      <c r="H298" s="147">
        <v>0.1</v>
      </c>
      <c r="I298" s="181">
        <v>1</v>
      </c>
      <c r="J298" s="144" t="s">
        <v>209</v>
      </c>
      <c r="K298" s="144"/>
      <c r="L298" s="144" t="s">
        <v>203</v>
      </c>
    </row>
    <row r="299" spans="1:12" ht="43.2" x14ac:dyDescent="0.3">
      <c r="A299" s="143">
        <v>19</v>
      </c>
      <c r="B299" s="144" t="s">
        <v>241</v>
      </c>
      <c r="C299" s="144" t="s">
        <v>242</v>
      </c>
      <c r="D299" s="144" t="s">
        <v>243</v>
      </c>
      <c r="E299" s="316"/>
      <c r="F299" s="146" t="s">
        <v>208</v>
      </c>
      <c r="G299" s="301"/>
      <c r="H299" s="147">
        <v>0.05</v>
      </c>
      <c r="I299" s="144">
        <v>0</v>
      </c>
      <c r="J299" s="144" t="s">
        <v>210</v>
      </c>
      <c r="K299" s="144"/>
      <c r="L299" s="144" t="s">
        <v>203</v>
      </c>
    </row>
    <row r="300" spans="1:12" ht="43.2" x14ac:dyDescent="0.3">
      <c r="A300" s="143">
        <v>19</v>
      </c>
      <c r="B300" s="144" t="s">
        <v>241</v>
      </c>
      <c r="C300" s="144" t="s">
        <v>242</v>
      </c>
      <c r="D300" s="144" t="s">
        <v>243</v>
      </c>
      <c r="E300" s="316"/>
      <c r="F300" s="146" t="s">
        <v>208</v>
      </c>
      <c r="G300" s="301"/>
      <c r="H300" s="147">
        <v>0.1</v>
      </c>
      <c r="I300" s="181">
        <v>0.95</v>
      </c>
      <c r="J300" s="144" t="s">
        <v>211</v>
      </c>
      <c r="K300" s="144"/>
      <c r="L300" s="144" t="s">
        <v>203</v>
      </c>
    </row>
    <row r="301" spans="1:12" ht="43.2" x14ac:dyDescent="0.3">
      <c r="A301" s="143">
        <v>19</v>
      </c>
      <c r="B301" s="144" t="s">
        <v>241</v>
      </c>
      <c r="C301" s="144" t="s">
        <v>242</v>
      </c>
      <c r="D301" s="144" t="s">
        <v>243</v>
      </c>
      <c r="E301" s="316"/>
      <c r="F301" s="146" t="s">
        <v>208</v>
      </c>
      <c r="G301" s="301"/>
      <c r="H301" s="147">
        <v>0.05</v>
      </c>
      <c r="I301" s="144" t="s">
        <v>212</v>
      </c>
      <c r="J301" s="144" t="s">
        <v>213</v>
      </c>
      <c r="K301" s="144"/>
      <c r="L301" s="144" t="s">
        <v>203</v>
      </c>
    </row>
    <row r="302" spans="1:12" ht="14.55" customHeight="1" x14ac:dyDescent="0.3">
      <c r="A302" s="143">
        <v>19</v>
      </c>
      <c r="B302" s="144" t="s">
        <v>241</v>
      </c>
      <c r="C302" s="144" t="s">
        <v>242</v>
      </c>
      <c r="D302" s="144" t="s">
        <v>243</v>
      </c>
      <c r="E302" s="316" t="s">
        <v>214</v>
      </c>
      <c r="F302" s="146" t="s">
        <v>214</v>
      </c>
      <c r="G302" s="301">
        <v>0.1</v>
      </c>
      <c r="H302" s="147">
        <v>0.02</v>
      </c>
      <c r="I302" s="144" t="s">
        <v>215</v>
      </c>
      <c r="J302" s="144" t="s">
        <v>216</v>
      </c>
      <c r="K302" s="144"/>
      <c r="L302" s="144" t="s">
        <v>203</v>
      </c>
    </row>
    <row r="303" spans="1:12" ht="57.6" x14ac:dyDescent="0.3">
      <c r="A303" s="143">
        <v>19</v>
      </c>
      <c r="B303" s="144" t="s">
        <v>241</v>
      </c>
      <c r="C303" s="144" t="s">
        <v>242</v>
      </c>
      <c r="D303" s="144" t="s">
        <v>243</v>
      </c>
      <c r="E303" s="316"/>
      <c r="F303" s="146" t="s">
        <v>214</v>
      </c>
      <c r="G303" s="301"/>
      <c r="H303" s="147">
        <v>0.02</v>
      </c>
      <c r="I303" s="181">
        <v>1</v>
      </c>
      <c r="J303" s="144" t="s">
        <v>217</v>
      </c>
      <c r="K303" s="144"/>
      <c r="L303" s="144" t="s">
        <v>203</v>
      </c>
    </row>
    <row r="304" spans="1:12" ht="57.6" x14ac:dyDescent="0.3">
      <c r="A304" s="143">
        <v>19</v>
      </c>
      <c r="B304" s="144" t="s">
        <v>241</v>
      </c>
      <c r="C304" s="144" t="s">
        <v>242</v>
      </c>
      <c r="D304" s="144" t="s">
        <v>243</v>
      </c>
      <c r="E304" s="316"/>
      <c r="F304" s="146" t="s">
        <v>214</v>
      </c>
      <c r="G304" s="301"/>
      <c r="H304" s="147">
        <v>0.05</v>
      </c>
      <c r="I304" s="181">
        <v>1</v>
      </c>
      <c r="J304" s="144" t="s">
        <v>218</v>
      </c>
      <c r="K304" s="144"/>
      <c r="L304" s="144" t="s">
        <v>203</v>
      </c>
    </row>
    <row r="305" spans="1:12" ht="57.6" x14ac:dyDescent="0.3">
      <c r="A305" s="143">
        <v>19</v>
      </c>
      <c r="B305" s="144" t="s">
        <v>241</v>
      </c>
      <c r="C305" s="144" t="s">
        <v>242</v>
      </c>
      <c r="D305" s="144" t="s">
        <v>243</v>
      </c>
      <c r="E305" s="316"/>
      <c r="F305" s="146" t="s">
        <v>214</v>
      </c>
      <c r="G305" s="301"/>
      <c r="H305" s="147">
        <v>0.01</v>
      </c>
      <c r="I305" s="144" t="s">
        <v>212</v>
      </c>
      <c r="J305" s="144" t="s">
        <v>219</v>
      </c>
      <c r="K305" s="144"/>
      <c r="L305" s="144" t="s">
        <v>203</v>
      </c>
    </row>
    <row r="306" spans="1:12" x14ac:dyDescent="0.3">
      <c r="A306" s="143">
        <v>19</v>
      </c>
      <c r="B306" s="144" t="s">
        <v>241</v>
      </c>
      <c r="C306" s="144" t="s">
        <v>242</v>
      </c>
      <c r="D306" s="144" t="s">
        <v>243</v>
      </c>
      <c r="E306" s="145" t="s">
        <v>191</v>
      </c>
      <c r="F306" s="145" t="s">
        <v>191</v>
      </c>
      <c r="G306" s="147">
        <v>0.1</v>
      </c>
      <c r="H306" s="147">
        <v>0.1</v>
      </c>
      <c r="I306" s="144" t="s">
        <v>195</v>
      </c>
      <c r="J306" s="144" t="s">
        <v>196</v>
      </c>
      <c r="K306" s="144"/>
      <c r="L306" s="144" t="s">
        <v>203</v>
      </c>
    </row>
    <row r="307" spans="1:12" ht="14.55" customHeight="1" x14ac:dyDescent="0.3">
      <c r="A307" s="143">
        <v>19</v>
      </c>
      <c r="B307" s="144" t="s">
        <v>241</v>
      </c>
      <c r="C307" s="144" t="s">
        <v>242</v>
      </c>
      <c r="D307" s="144" t="s">
        <v>243</v>
      </c>
      <c r="E307" s="300" t="s">
        <v>197</v>
      </c>
      <c r="F307" s="146" t="s">
        <v>197</v>
      </c>
      <c r="G307" s="301">
        <v>0.2</v>
      </c>
      <c r="H307" s="147">
        <v>0.05</v>
      </c>
      <c r="I307" s="181">
        <v>1</v>
      </c>
      <c r="J307" s="144" t="s">
        <v>227</v>
      </c>
      <c r="K307" s="144"/>
      <c r="L307" s="144" t="s">
        <v>203</v>
      </c>
    </row>
    <row r="308" spans="1:12" ht="43.2" x14ac:dyDescent="0.3">
      <c r="A308" s="143">
        <v>19</v>
      </c>
      <c r="B308" s="144" t="s">
        <v>241</v>
      </c>
      <c r="C308" s="144" t="s">
        <v>242</v>
      </c>
      <c r="D308" s="144" t="s">
        <v>243</v>
      </c>
      <c r="E308" s="300"/>
      <c r="F308" s="146" t="s">
        <v>197</v>
      </c>
      <c r="G308" s="301"/>
      <c r="H308" s="147">
        <v>0.1</v>
      </c>
      <c r="I308" s="181">
        <v>1</v>
      </c>
      <c r="J308" s="144" t="s">
        <v>198</v>
      </c>
      <c r="K308" s="144"/>
      <c r="L308" s="144" t="s">
        <v>203</v>
      </c>
    </row>
    <row r="309" spans="1:12" ht="43.2" x14ac:dyDescent="0.3">
      <c r="A309" s="143">
        <v>19</v>
      </c>
      <c r="B309" s="144" t="s">
        <v>241</v>
      </c>
      <c r="C309" s="144" t="s">
        <v>242</v>
      </c>
      <c r="D309" s="144" t="s">
        <v>243</v>
      </c>
      <c r="E309" s="300"/>
      <c r="F309" s="146" t="s">
        <v>197</v>
      </c>
      <c r="G309" s="301"/>
      <c r="H309" s="147">
        <v>0.05</v>
      </c>
      <c r="I309" s="144" t="s">
        <v>193</v>
      </c>
      <c r="J309" s="144" t="s">
        <v>199</v>
      </c>
      <c r="K309" s="144"/>
      <c r="L309" s="144" t="s">
        <v>203</v>
      </c>
    </row>
    <row r="310" spans="1:12" ht="14.55" customHeight="1" x14ac:dyDescent="0.3">
      <c r="A310" s="143">
        <v>19</v>
      </c>
      <c r="B310" s="144" t="s">
        <v>241</v>
      </c>
      <c r="C310" s="144" t="s">
        <v>242</v>
      </c>
      <c r="D310" s="144" t="s">
        <v>243</v>
      </c>
      <c r="E310" s="300" t="s">
        <v>230</v>
      </c>
      <c r="F310" s="146" t="s">
        <v>230</v>
      </c>
      <c r="G310" s="301">
        <v>0.1</v>
      </c>
      <c r="H310" s="147">
        <v>0.05</v>
      </c>
      <c r="I310" s="144" t="s">
        <v>234</v>
      </c>
      <c r="J310" s="144" t="s">
        <v>235</v>
      </c>
      <c r="K310" s="144"/>
      <c r="L310" s="144" t="s">
        <v>203</v>
      </c>
    </row>
    <row r="311" spans="1:12" ht="28.8" x14ac:dyDescent="0.3">
      <c r="A311" s="143">
        <v>19</v>
      </c>
      <c r="B311" s="144" t="s">
        <v>241</v>
      </c>
      <c r="C311" s="144" t="s">
        <v>242</v>
      </c>
      <c r="D311" s="144" t="s">
        <v>243</v>
      </c>
      <c r="E311" s="300"/>
      <c r="F311" s="146" t="s">
        <v>230</v>
      </c>
      <c r="G311" s="301"/>
      <c r="H311" s="147">
        <v>0.05</v>
      </c>
      <c r="I311" s="144" t="s">
        <v>212</v>
      </c>
      <c r="J311" s="144" t="s">
        <v>236</v>
      </c>
      <c r="K311" s="144"/>
      <c r="L311" s="144" t="s">
        <v>203</v>
      </c>
    </row>
    <row r="312" spans="1:12" x14ac:dyDescent="0.3">
      <c r="A312" s="134">
        <v>20</v>
      </c>
      <c r="B312" s="135" t="s">
        <v>244</v>
      </c>
      <c r="C312" s="135" t="s">
        <v>245</v>
      </c>
      <c r="D312" s="135" t="s">
        <v>246</v>
      </c>
      <c r="E312" s="296" t="s">
        <v>247</v>
      </c>
      <c r="F312" s="137" t="s">
        <v>247</v>
      </c>
      <c r="G312" s="306">
        <v>0.4</v>
      </c>
      <c r="H312" s="140">
        <v>0.1</v>
      </c>
      <c r="I312" s="135"/>
      <c r="J312" s="135" t="s">
        <v>248</v>
      </c>
      <c r="K312" s="135"/>
      <c r="L312" s="135" t="s">
        <v>966</v>
      </c>
    </row>
    <row r="313" spans="1:12" x14ac:dyDescent="0.3">
      <c r="A313" s="134">
        <v>20</v>
      </c>
      <c r="B313" s="135" t="s">
        <v>244</v>
      </c>
      <c r="C313" s="135" t="s">
        <v>245</v>
      </c>
      <c r="D313" s="135" t="s">
        <v>246</v>
      </c>
      <c r="E313" s="296"/>
      <c r="F313" s="137" t="s">
        <v>247</v>
      </c>
      <c r="G313" s="306"/>
      <c r="H313" s="140">
        <v>0.2</v>
      </c>
      <c r="I313" s="135"/>
      <c r="J313" s="135" t="s">
        <v>249</v>
      </c>
      <c r="K313" s="135"/>
      <c r="L313" s="135" t="s">
        <v>966</v>
      </c>
    </row>
    <row r="314" spans="1:12" x14ac:dyDescent="0.3">
      <c r="A314" s="134">
        <v>20</v>
      </c>
      <c r="B314" s="135" t="s">
        <v>244</v>
      </c>
      <c r="C314" s="135" t="s">
        <v>245</v>
      </c>
      <c r="D314" s="135" t="s">
        <v>246</v>
      </c>
      <c r="E314" s="296"/>
      <c r="F314" s="137" t="s">
        <v>247</v>
      </c>
      <c r="G314" s="306"/>
      <c r="H314" s="140">
        <v>0.1</v>
      </c>
      <c r="I314" s="135"/>
      <c r="J314" s="135" t="s">
        <v>250</v>
      </c>
      <c r="K314" s="135"/>
      <c r="L314" s="135" t="s">
        <v>966</v>
      </c>
    </row>
    <row r="315" spans="1:12" x14ac:dyDescent="0.3">
      <c r="A315" s="134">
        <v>20</v>
      </c>
      <c r="B315" s="135" t="s">
        <v>244</v>
      </c>
      <c r="C315" s="135" t="s">
        <v>245</v>
      </c>
      <c r="D315" s="135" t="s">
        <v>246</v>
      </c>
      <c r="E315" s="296" t="s">
        <v>251</v>
      </c>
      <c r="F315" s="137" t="s">
        <v>251</v>
      </c>
      <c r="G315" s="306">
        <v>0.15</v>
      </c>
      <c r="H315" s="140">
        <v>0.05</v>
      </c>
      <c r="I315" s="135"/>
      <c r="J315" s="135" t="s">
        <v>252</v>
      </c>
      <c r="K315" s="135"/>
      <c r="L315" s="135" t="s">
        <v>966</v>
      </c>
    </row>
    <row r="316" spans="1:12" x14ac:dyDescent="0.3">
      <c r="A316" s="134">
        <v>20</v>
      </c>
      <c r="B316" s="135" t="s">
        <v>244</v>
      </c>
      <c r="C316" s="135" t="s">
        <v>245</v>
      </c>
      <c r="D316" s="135" t="s">
        <v>246</v>
      </c>
      <c r="E316" s="296"/>
      <c r="F316" s="137" t="s">
        <v>251</v>
      </c>
      <c r="G316" s="306"/>
      <c r="H316" s="140">
        <v>0.05</v>
      </c>
      <c r="I316" s="135"/>
      <c r="J316" s="135" t="s">
        <v>253</v>
      </c>
      <c r="K316" s="135"/>
      <c r="L316" s="135" t="s">
        <v>966</v>
      </c>
    </row>
    <row r="317" spans="1:12" x14ac:dyDescent="0.3">
      <c r="A317" s="134">
        <v>20</v>
      </c>
      <c r="B317" s="135" t="s">
        <v>244</v>
      </c>
      <c r="C317" s="135" t="s">
        <v>245</v>
      </c>
      <c r="D317" s="135" t="s">
        <v>246</v>
      </c>
      <c r="E317" s="296"/>
      <c r="F317" s="137" t="s">
        <v>251</v>
      </c>
      <c r="G317" s="306"/>
      <c r="H317" s="140">
        <v>0.05</v>
      </c>
      <c r="I317" s="135"/>
      <c r="J317" s="135" t="s">
        <v>254</v>
      </c>
      <c r="K317" s="135"/>
      <c r="L317" s="135" t="s">
        <v>966</v>
      </c>
    </row>
    <row r="318" spans="1:12" x14ac:dyDescent="0.3">
      <c r="A318" s="134">
        <v>20</v>
      </c>
      <c r="B318" s="135" t="s">
        <v>244</v>
      </c>
      <c r="C318" s="135" t="s">
        <v>245</v>
      </c>
      <c r="D318" s="135" t="s">
        <v>246</v>
      </c>
      <c r="E318" s="296" t="s">
        <v>255</v>
      </c>
      <c r="F318" s="137" t="s">
        <v>255</v>
      </c>
      <c r="G318" s="306">
        <v>0.2</v>
      </c>
      <c r="H318" s="140">
        <v>0.1</v>
      </c>
      <c r="I318" s="135"/>
      <c r="J318" s="135" t="s">
        <v>256</v>
      </c>
      <c r="K318" s="135"/>
      <c r="L318" s="135" t="s">
        <v>966</v>
      </c>
    </row>
    <row r="319" spans="1:12" x14ac:dyDescent="0.3">
      <c r="A319" s="134">
        <v>20</v>
      </c>
      <c r="B319" s="135" t="s">
        <v>244</v>
      </c>
      <c r="C319" s="135" t="s">
        <v>245</v>
      </c>
      <c r="D319" s="135" t="s">
        <v>246</v>
      </c>
      <c r="E319" s="296"/>
      <c r="F319" s="137" t="s">
        <v>255</v>
      </c>
      <c r="G319" s="306"/>
      <c r="H319" s="140">
        <v>0.05</v>
      </c>
      <c r="I319" s="135"/>
      <c r="J319" s="135" t="s">
        <v>257</v>
      </c>
      <c r="K319" s="135"/>
      <c r="L319" s="135" t="s">
        <v>966</v>
      </c>
    </row>
    <row r="320" spans="1:12" x14ac:dyDescent="0.3">
      <c r="A320" s="134">
        <v>20</v>
      </c>
      <c r="B320" s="135" t="s">
        <v>244</v>
      </c>
      <c r="C320" s="135" t="s">
        <v>245</v>
      </c>
      <c r="D320" s="135" t="s">
        <v>246</v>
      </c>
      <c r="E320" s="296"/>
      <c r="F320" s="137" t="s">
        <v>255</v>
      </c>
      <c r="G320" s="306"/>
      <c r="H320" s="140">
        <v>0.05</v>
      </c>
      <c r="I320" s="135"/>
      <c r="J320" s="135" t="s">
        <v>258</v>
      </c>
      <c r="K320" s="135"/>
      <c r="L320" s="135" t="s">
        <v>966</v>
      </c>
    </row>
    <row r="321" spans="1:12" x14ac:dyDescent="0.3">
      <c r="A321" s="134">
        <v>20</v>
      </c>
      <c r="B321" s="135" t="s">
        <v>244</v>
      </c>
      <c r="C321" s="135" t="s">
        <v>245</v>
      </c>
      <c r="D321" s="135" t="s">
        <v>246</v>
      </c>
      <c r="E321" s="296" t="s">
        <v>259</v>
      </c>
      <c r="F321" s="137" t="s">
        <v>259</v>
      </c>
      <c r="G321" s="306">
        <v>0.15</v>
      </c>
      <c r="H321" s="184">
        <v>7.4999999999999997E-2</v>
      </c>
      <c r="I321" s="135"/>
      <c r="J321" s="135" t="s">
        <v>260</v>
      </c>
      <c r="K321" s="135"/>
      <c r="L321" s="135" t="s">
        <v>966</v>
      </c>
    </row>
    <row r="322" spans="1:12" x14ac:dyDescent="0.3">
      <c r="A322" s="134">
        <v>20</v>
      </c>
      <c r="B322" s="135" t="s">
        <v>244</v>
      </c>
      <c r="C322" s="135" t="s">
        <v>245</v>
      </c>
      <c r="D322" s="135" t="s">
        <v>246</v>
      </c>
      <c r="E322" s="296"/>
      <c r="F322" s="137" t="s">
        <v>259</v>
      </c>
      <c r="G322" s="306"/>
      <c r="H322" s="184">
        <v>7.4999999999999997E-2</v>
      </c>
      <c r="I322" s="135"/>
      <c r="J322" s="135" t="s">
        <v>261</v>
      </c>
      <c r="K322" s="135"/>
      <c r="L322" s="135" t="s">
        <v>966</v>
      </c>
    </row>
    <row r="323" spans="1:12" x14ac:dyDescent="0.3">
      <c r="A323" s="134">
        <v>20</v>
      </c>
      <c r="B323" s="135" t="s">
        <v>244</v>
      </c>
      <c r="C323" s="135" t="s">
        <v>245</v>
      </c>
      <c r="D323" s="135" t="s">
        <v>246</v>
      </c>
      <c r="E323" s="296" t="s">
        <v>262</v>
      </c>
      <c r="F323" s="137" t="s">
        <v>262</v>
      </c>
      <c r="G323" s="306">
        <v>0.1</v>
      </c>
      <c r="H323" s="140">
        <v>0.04</v>
      </c>
      <c r="I323" s="135"/>
      <c r="J323" s="135" t="s">
        <v>263</v>
      </c>
      <c r="K323" s="135"/>
      <c r="L323" s="135" t="s">
        <v>966</v>
      </c>
    </row>
    <row r="324" spans="1:12" x14ac:dyDescent="0.3">
      <c r="A324" s="134">
        <v>20</v>
      </c>
      <c r="B324" s="135" t="s">
        <v>244</v>
      </c>
      <c r="C324" s="135" t="s">
        <v>245</v>
      </c>
      <c r="D324" s="135" t="s">
        <v>246</v>
      </c>
      <c r="E324" s="296"/>
      <c r="F324" s="137" t="s">
        <v>262</v>
      </c>
      <c r="G324" s="306"/>
      <c r="H324" s="140">
        <v>0.04</v>
      </c>
      <c r="I324" s="135"/>
      <c r="J324" s="135" t="s">
        <v>264</v>
      </c>
      <c r="K324" s="135"/>
      <c r="L324" s="135" t="s">
        <v>966</v>
      </c>
    </row>
    <row r="325" spans="1:12" x14ac:dyDescent="0.3">
      <c r="A325" s="134">
        <v>20</v>
      </c>
      <c r="B325" s="135" t="s">
        <v>244</v>
      </c>
      <c r="C325" s="135" t="s">
        <v>245</v>
      </c>
      <c r="D325" s="135" t="s">
        <v>246</v>
      </c>
      <c r="E325" s="296"/>
      <c r="F325" s="137" t="s">
        <v>262</v>
      </c>
      <c r="G325" s="306"/>
      <c r="H325" s="140">
        <v>0.02</v>
      </c>
      <c r="I325" s="135"/>
      <c r="J325" s="135" t="s">
        <v>265</v>
      </c>
      <c r="K325" s="135"/>
      <c r="L325" s="135" t="s">
        <v>966</v>
      </c>
    </row>
    <row r="326" spans="1:12" ht="28.8" x14ac:dyDescent="0.3">
      <c r="A326" s="143">
        <v>21</v>
      </c>
      <c r="B326" s="144" t="s">
        <v>266</v>
      </c>
      <c r="C326" s="144" t="s">
        <v>267</v>
      </c>
      <c r="D326" s="144" t="s">
        <v>268</v>
      </c>
      <c r="E326" s="186" t="s">
        <v>269</v>
      </c>
      <c r="F326" s="186" t="s">
        <v>269</v>
      </c>
      <c r="G326" s="185">
        <v>0.1</v>
      </c>
      <c r="H326" s="185">
        <v>0.1</v>
      </c>
      <c r="I326" s="144"/>
      <c r="J326" s="161" t="s">
        <v>270</v>
      </c>
      <c r="K326" s="144"/>
      <c r="L326" s="144" t="s">
        <v>245</v>
      </c>
    </row>
    <row r="327" spans="1:12" ht="14.55" customHeight="1" x14ac:dyDescent="0.3">
      <c r="A327" s="143">
        <v>21</v>
      </c>
      <c r="B327" s="144" t="s">
        <v>266</v>
      </c>
      <c r="C327" s="144" t="s">
        <v>267</v>
      </c>
      <c r="D327" s="144" t="s">
        <v>268</v>
      </c>
      <c r="E327" s="317" t="s">
        <v>271</v>
      </c>
      <c r="F327" s="287" t="s">
        <v>271</v>
      </c>
      <c r="G327" s="318">
        <v>0.2</v>
      </c>
      <c r="H327" s="185">
        <v>0.1</v>
      </c>
      <c r="I327" s="144"/>
      <c r="J327" s="145" t="s">
        <v>272</v>
      </c>
      <c r="K327" s="144"/>
      <c r="L327" s="144" t="s">
        <v>245</v>
      </c>
    </row>
    <row r="328" spans="1:12" ht="28.8" x14ac:dyDescent="0.3">
      <c r="A328" s="143">
        <v>21</v>
      </c>
      <c r="B328" s="144" t="s">
        <v>266</v>
      </c>
      <c r="C328" s="144" t="s">
        <v>267</v>
      </c>
      <c r="D328" s="144" t="s">
        <v>268</v>
      </c>
      <c r="E328" s="317"/>
      <c r="F328" s="287" t="s">
        <v>271</v>
      </c>
      <c r="G328" s="318"/>
      <c r="H328" s="185">
        <v>0.1</v>
      </c>
      <c r="I328" s="144"/>
      <c r="J328" s="145" t="s">
        <v>273</v>
      </c>
      <c r="K328" s="144"/>
      <c r="L328" s="144" t="s">
        <v>245</v>
      </c>
    </row>
    <row r="329" spans="1:12" x14ac:dyDescent="0.3">
      <c r="A329" s="143">
        <v>21</v>
      </c>
      <c r="B329" s="144" t="s">
        <v>266</v>
      </c>
      <c r="C329" s="144" t="s">
        <v>267</v>
      </c>
      <c r="D329" s="144" t="s">
        <v>268</v>
      </c>
      <c r="E329" s="286" t="s">
        <v>274</v>
      </c>
      <c r="F329" s="286" t="s">
        <v>274</v>
      </c>
      <c r="G329" s="318">
        <v>0.2</v>
      </c>
      <c r="H329" s="185">
        <v>0.1</v>
      </c>
      <c r="I329" s="144"/>
      <c r="J329" s="161" t="s">
        <v>275</v>
      </c>
      <c r="K329" s="144"/>
      <c r="L329" s="144" t="s">
        <v>245</v>
      </c>
    </row>
    <row r="330" spans="1:12" x14ac:dyDescent="0.3">
      <c r="A330" s="143">
        <v>21</v>
      </c>
      <c r="B330" s="144" t="s">
        <v>266</v>
      </c>
      <c r="C330" s="144" t="s">
        <v>267</v>
      </c>
      <c r="D330" s="144" t="s">
        <v>268</v>
      </c>
      <c r="E330" s="286"/>
      <c r="F330" s="286" t="s">
        <v>274</v>
      </c>
      <c r="G330" s="318"/>
      <c r="H330" s="185">
        <v>0.1</v>
      </c>
      <c r="I330" s="144"/>
      <c r="J330" s="161" t="s">
        <v>276</v>
      </c>
      <c r="K330" s="144"/>
      <c r="L330" s="144" t="s">
        <v>245</v>
      </c>
    </row>
    <row r="331" spans="1:12" x14ac:dyDescent="0.3">
      <c r="A331" s="143">
        <v>21</v>
      </c>
      <c r="B331" s="144" t="s">
        <v>266</v>
      </c>
      <c r="C331" s="144" t="s">
        <v>267</v>
      </c>
      <c r="D331" s="144" t="s">
        <v>268</v>
      </c>
      <c r="E331" s="186" t="s">
        <v>277</v>
      </c>
      <c r="F331" s="186" t="s">
        <v>277</v>
      </c>
      <c r="G331" s="185">
        <v>0.1</v>
      </c>
      <c r="H331" s="185">
        <v>0.1</v>
      </c>
      <c r="I331" s="144"/>
      <c r="J331" s="161" t="s">
        <v>278</v>
      </c>
      <c r="K331" s="144"/>
      <c r="L331" s="144" t="s">
        <v>245</v>
      </c>
    </row>
    <row r="332" spans="1:12" ht="28.8" x14ac:dyDescent="0.3">
      <c r="A332" s="143">
        <v>21</v>
      </c>
      <c r="B332" s="144" t="s">
        <v>266</v>
      </c>
      <c r="C332" s="144" t="s">
        <v>267</v>
      </c>
      <c r="D332" s="144" t="s">
        <v>268</v>
      </c>
      <c r="E332" s="186" t="s">
        <v>279</v>
      </c>
      <c r="F332" s="186" t="s">
        <v>279</v>
      </c>
      <c r="G332" s="185">
        <v>0.2</v>
      </c>
      <c r="H332" s="185">
        <v>0.2</v>
      </c>
      <c r="I332" s="144"/>
      <c r="J332" s="161" t="s">
        <v>280</v>
      </c>
      <c r="K332" s="144"/>
      <c r="L332" s="144" t="s">
        <v>245</v>
      </c>
    </row>
    <row r="333" spans="1:12" x14ac:dyDescent="0.3">
      <c r="A333" s="143">
        <v>21</v>
      </c>
      <c r="B333" s="144" t="s">
        <v>266</v>
      </c>
      <c r="C333" s="144" t="s">
        <v>267</v>
      </c>
      <c r="D333" s="144" t="s">
        <v>268</v>
      </c>
      <c r="E333" s="186" t="s">
        <v>281</v>
      </c>
      <c r="F333" s="186" t="s">
        <v>281</v>
      </c>
      <c r="G333" s="185">
        <v>0.2</v>
      </c>
      <c r="H333" s="185">
        <v>0.2</v>
      </c>
      <c r="I333" s="144"/>
      <c r="J333" s="161" t="s">
        <v>282</v>
      </c>
      <c r="K333" s="144"/>
      <c r="L333" s="144" t="s">
        <v>245</v>
      </c>
    </row>
    <row r="334" spans="1:12" ht="14.55" customHeight="1" x14ac:dyDescent="0.3">
      <c r="A334" s="134">
        <v>22</v>
      </c>
      <c r="B334" s="135" t="s">
        <v>283</v>
      </c>
      <c r="C334" s="135" t="s">
        <v>284</v>
      </c>
      <c r="D334" s="135" t="s">
        <v>285</v>
      </c>
      <c r="E334" s="296" t="s">
        <v>286</v>
      </c>
      <c r="F334" s="137" t="s">
        <v>286</v>
      </c>
      <c r="G334" s="295">
        <v>0.3</v>
      </c>
      <c r="H334" s="140">
        <v>0.15</v>
      </c>
      <c r="I334" s="135"/>
      <c r="J334" s="135" t="s">
        <v>287</v>
      </c>
      <c r="K334" s="135"/>
      <c r="L334" s="135" t="s">
        <v>245</v>
      </c>
    </row>
    <row r="335" spans="1:12" ht="28.8" x14ac:dyDescent="0.3">
      <c r="A335" s="134">
        <v>22</v>
      </c>
      <c r="B335" s="135" t="s">
        <v>283</v>
      </c>
      <c r="C335" s="135" t="s">
        <v>284</v>
      </c>
      <c r="D335" s="135" t="s">
        <v>285</v>
      </c>
      <c r="E335" s="296"/>
      <c r="F335" s="137" t="s">
        <v>286</v>
      </c>
      <c r="G335" s="295"/>
      <c r="H335" s="140">
        <v>0.15</v>
      </c>
      <c r="I335" s="135"/>
      <c r="J335" s="135" t="s">
        <v>288</v>
      </c>
      <c r="K335" s="135"/>
      <c r="L335" s="135" t="s">
        <v>245</v>
      </c>
    </row>
    <row r="336" spans="1:12" ht="14.55" customHeight="1" x14ac:dyDescent="0.3">
      <c r="A336" s="134">
        <v>22</v>
      </c>
      <c r="B336" s="135" t="s">
        <v>283</v>
      </c>
      <c r="C336" s="135" t="s">
        <v>284</v>
      </c>
      <c r="D336" s="135" t="s">
        <v>285</v>
      </c>
      <c r="E336" s="296" t="s">
        <v>289</v>
      </c>
      <c r="F336" s="137" t="s">
        <v>289</v>
      </c>
      <c r="G336" s="295">
        <v>0.2</v>
      </c>
      <c r="H336" s="140">
        <v>0.05</v>
      </c>
      <c r="I336" s="135"/>
      <c r="J336" s="135" t="s">
        <v>290</v>
      </c>
      <c r="K336" s="135"/>
      <c r="L336" s="135" t="s">
        <v>245</v>
      </c>
    </row>
    <row r="337" spans="1:12" ht="28.8" x14ac:dyDescent="0.3">
      <c r="A337" s="134">
        <v>22</v>
      </c>
      <c r="B337" s="135" t="s">
        <v>283</v>
      </c>
      <c r="C337" s="135" t="s">
        <v>284</v>
      </c>
      <c r="D337" s="135" t="s">
        <v>285</v>
      </c>
      <c r="E337" s="296"/>
      <c r="F337" s="137" t="s">
        <v>289</v>
      </c>
      <c r="G337" s="295"/>
      <c r="H337" s="140">
        <v>0.05</v>
      </c>
      <c r="I337" s="135"/>
      <c r="J337" s="135" t="s">
        <v>291</v>
      </c>
      <c r="K337" s="135"/>
      <c r="L337" s="135" t="s">
        <v>245</v>
      </c>
    </row>
    <row r="338" spans="1:12" ht="28.8" x14ac:dyDescent="0.3">
      <c r="A338" s="134">
        <v>22</v>
      </c>
      <c r="B338" s="135" t="s">
        <v>283</v>
      </c>
      <c r="C338" s="135" t="s">
        <v>284</v>
      </c>
      <c r="D338" s="135" t="s">
        <v>285</v>
      </c>
      <c r="E338" s="296"/>
      <c r="F338" s="137" t="s">
        <v>289</v>
      </c>
      <c r="G338" s="295"/>
      <c r="H338" s="140">
        <v>0.05</v>
      </c>
      <c r="I338" s="135"/>
      <c r="J338" s="135" t="s">
        <v>292</v>
      </c>
      <c r="K338" s="135"/>
      <c r="L338" s="135" t="s">
        <v>245</v>
      </c>
    </row>
    <row r="339" spans="1:12" ht="28.8" x14ac:dyDescent="0.3">
      <c r="A339" s="134">
        <v>22</v>
      </c>
      <c r="B339" s="135" t="s">
        <v>283</v>
      </c>
      <c r="C339" s="135" t="s">
        <v>284</v>
      </c>
      <c r="D339" s="135" t="s">
        <v>285</v>
      </c>
      <c r="E339" s="296"/>
      <c r="F339" s="137" t="s">
        <v>289</v>
      </c>
      <c r="G339" s="295"/>
      <c r="H339" s="140">
        <v>0.05</v>
      </c>
      <c r="I339" s="135"/>
      <c r="J339" s="135" t="s">
        <v>293</v>
      </c>
      <c r="K339" s="135"/>
      <c r="L339" s="135" t="s">
        <v>245</v>
      </c>
    </row>
    <row r="340" spans="1:12" ht="14.55" customHeight="1" x14ac:dyDescent="0.3">
      <c r="A340" s="134">
        <v>22</v>
      </c>
      <c r="B340" s="135" t="s">
        <v>283</v>
      </c>
      <c r="C340" s="135" t="s">
        <v>284</v>
      </c>
      <c r="D340" s="135" t="s">
        <v>285</v>
      </c>
      <c r="E340" s="296" t="s">
        <v>294</v>
      </c>
      <c r="F340" s="137" t="s">
        <v>294</v>
      </c>
      <c r="G340" s="295">
        <v>0.3</v>
      </c>
      <c r="H340" s="140">
        <v>0.15</v>
      </c>
      <c r="I340" s="135"/>
      <c r="J340" s="135" t="s">
        <v>295</v>
      </c>
      <c r="K340" s="135"/>
      <c r="L340" s="135" t="s">
        <v>245</v>
      </c>
    </row>
    <row r="341" spans="1:12" ht="28.8" x14ac:dyDescent="0.3">
      <c r="A341" s="134">
        <v>22</v>
      </c>
      <c r="B341" s="135" t="s">
        <v>283</v>
      </c>
      <c r="C341" s="135" t="s">
        <v>284</v>
      </c>
      <c r="D341" s="135" t="s">
        <v>285</v>
      </c>
      <c r="E341" s="296"/>
      <c r="F341" s="137" t="s">
        <v>294</v>
      </c>
      <c r="G341" s="295"/>
      <c r="H341" s="140">
        <v>0.15</v>
      </c>
      <c r="I341" s="135"/>
      <c r="J341" s="135" t="s">
        <v>296</v>
      </c>
      <c r="K341" s="135"/>
      <c r="L341" s="135" t="s">
        <v>245</v>
      </c>
    </row>
    <row r="342" spans="1:12" ht="14.55" customHeight="1" x14ac:dyDescent="0.3">
      <c r="A342" s="134">
        <v>22</v>
      </c>
      <c r="B342" s="135" t="s">
        <v>283</v>
      </c>
      <c r="C342" s="135" t="s">
        <v>284</v>
      </c>
      <c r="D342" s="135" t="s">
        <v>285</v>
      </c>
      <c r="E342" s="319" t="s">
        <v>297</v>
      </c>
      <c r="F342" s="158" t="s">
        <v>297</v>
      </c>
      <c r="G342" s="295">
        <v>0.2</v>
      </c>
      <c r="H342" s="140">
        <v>0.05</v>
      </c>
      <c r="I342" s="135"/>
      <c r="J342" s="135" t="s">
        <v>298</v>
      </c>
      <c r="K342" s="135"/>
      <c r="L342" s="135" t="s">
        <v>245</v>
      </c>
    </row>
    <row r="343" spans="1:12" ht="28.8" x14ac:dyDescent="0.3">
      <c r="A343" s="134">
        <v>22</v>
      </c>
      <c r="B343" s="135" t="s">
        <v>283</v>
      </c>
      <c r="C343" s="135" t="s">
        <v>284</v>
      </c>
      <c r="D343" s="135" t="s">
        <v>285</v>
      </c>
      <c r="E343" s="319"/>
      <c r="F343" s="158" t="s">
        <v>297</v>
      </c>
      <c r="G343" s="295"/>
      <c r="H343" s="140">
        <v>0.05</v>
      </c>
      <c r="I343" s="135"/>
      <c r="J343" s="135" t="s">
        <v>299</v>
      </c>
      <c r="K343" s="135"/>
      <c r="L343" s="135" t="s">
        <v>245</v>
      </c>
    </row>
    <row r="344" spans="1:12" ht="28.8" x14ac:dyDescent="0.3">
      <c r="A344" s="134">
        <v>22</v>
      </c>
      <c r="B344" s="135" t="s">
        <v>283</v>
      </c>
      <c r="C344" s="135" t="s">
        <v>284</v>
      </c>
      <c r="D344" s="135" t="s">
        <v>285</v>
      </c>
      <c r="E344" s="319"/>
      <c r="F344" s="158" t="s">
        <v>297</v>
      </c>
      <c r="G344" s="295"/>
      <c r="H344" s="140">
        <v>0.05</v>
      </c>
      <c r="I344" s="135"/>
      <c r="J344" s="135" t="s">
        <v>300</v>
      </c>
      <c r="K344" s="135"/>
      <c r="L344" s="135" t="s">
        <v>245</v>
      </c>
    </row>
    <row r="345" spans="1:12" ht="28.8" x14ac:dyDescent="0.3">
      <c r="A345" s="134">
        <v>22</v>
      </c>
      <c r="B345" s="135" t="s">
        <v>283</v>
      </c>
      <c r="C345" s="135" t="s">
        <v>284</v>
      </c>
      <c r="D345" s="135" t="s">
        <v>285</v>
      </c>
      <c r="E345" s="319"/>
      <c r="F345" s="158" t="s">
        <v>297</v>
      </c>
      <c r="G345" s="295"/>
      <c r="H345" s="140">
        <v>0.05</v>
      </c>
      <c r="I345" s="135"/>
      <c r="J345" s="135" t="s">
        <v>301</v>
      </c>
      <c r="K345" s="135"/>
      <c r="L345" s="135" t="s">
        <v>245</v>
      </c>
    </row>
    <row r="346" spans="1:12" x14ac:dyDescent="0.3">
      <c r="A346" s="143">
        <v>23</v>
      </c>
      <c r="B346" s="144" t="s">
        <v>302</v>
      </c>
      <c r="C346" s="144" t="s">
        <v>303</v>
      </c>
      <c r="D346" s="144" t="s">
        <v>285</v>
      </c>
      <c r="E346" s="304" t="s">
        <v>304</v>
      </c>
      <c r="F346" s="161" t="s">
        <v>304</v>
      </c>
      <c r="G346" s="302">
        <v>0.1</v>
      </c>
      <c r="H346" s="149">
        <v>0.05</v>
      </c>
      <c r="I346" s="144"/>
      <c r="J346" s="144" t="s">
        <v>305</v>
      </c>
      <c r="K346" s="144"/>
      <c r="L346" s="144" t="s">
        <v>245</v>
      </c>
    </row>
    <row r="347" spans="1:12" x14ac:dyDescent="0.3">
      <c r="A347" s="143">
        <v>23</v>
      </c>
      <c r="B347" s="144" t="s">
        <v>302</v>
      </c>
      <c r="C347" s="144" t="s">
        <v>303</v>
      </c>
      <c r="D347" s="144" t="s">
        <v>285</v>
      </c>
      <c r="E347" s="304"/>
      <c r="F347" s="161" t="s">
        <v>304</v>
      </c>
      <c r="G347" s="302"/>
      <c r="H347" s="149">
        <v>0.05</v>
      </c>
      <c r="I347" s="144"/>
      <c r="J347" s="144" t="s">
        <v>306</v>
      </c>
      <c r="K347" s="144"/>
      <c r="L347" s="144" t="s">
        <v>245</v>
      </c>
    </row>
    <row r="348" spans="1:12" x14ac:dyDescent="0.3">
      <c r="A348" s="143">
        <v>23</v>
      </c>
      <c r="B348" s="144" t="s">
        <v>302</v>
      </c>
      <c r="C348" s="144" t="s">
        <v>303</v>
      </c>
      <c r="D348" s="144" t="s">
        <v>285</v>
      </c>
      <c r="E348" s="187" t="s">
        <v>307</v>
      </c>
      <c r="F348" s="187" t="s">
        <v>307</v>
      </c>
      <c r="G348" s="149">
        <v>0.1</v>
      </c>
      <c r="H348" s="149">
        <v>0.1</v>
      </c>
      <c r="I348" s="144"/>
      <c r="J348" s="144" t="s">
        <v>308</v>
      </c>
      <c r="K348" s="144"/>
      <c r="L348" s="144" t="s">
        <v>245</v>
      </c>
    </row>
    <row r="349" spans="1:12" ht="14.55" customHeight="1" x14ac:dyDescent="0.3">
      <c r="A349" s="143">
        <v>23</v>
      </c>
      <c r="B349" s="144" t="s">
        <v>302</v>
      </c>
      <c r="C349" s="144" t="s">
        <v>303</v>
      </c>
      <c r="D349" s="144" t="s">
        <v>285</v>
      </c>
      <c r="E349" s="304" t="s">
        <v>309</v>
      </c>
      <c r="F349" s="161" t="s">
        <v>309</v>
      </c>
      <c r="G349" s="302">
        <v>0.2</v>
      </c>
      <c r="H349" s="149">
        <v>0.1</v>
      </c>
      <c r="I349" s="144"/>
      <c r="J349" s="144" t="s">
        <v>310</v>
      </c>
      <c r="K349" s="144"/>
      <c r="L349" s="144" t="s">
        <v>245</v>
      </c>
    </row>
    <row r="350" spans="1:12" ht="28.8" x14ac:dyDescent="0.3">
      <c r="A350" s="143">
        <v>23</v>
      </c>
      <c r="B350" s="144" t="s">
        <v>302</v>
      </c>
      <c r="C350" s="144" t="s">
        <v>303</v>
      </c>
      <c r="D350" s="144" t="s">
        <v>285</v>
      </c>
      <c r="E350" s="304"/>
      <c r="F350" s="161" t="s">
        <v>309</v>
      </c>
      <c r="G350" s="302"/>
      <c r="H350" s="149">
        <v>0.1</v>
      </c>
      <c r="I350" s="144"/>
      <c r="J350" s="144" t="s">
        <v>311</v>
      </c>
      <c r="K350" s="144"/>
      <c r="L350" s="144" t="s">
        <v>245</v>
      </c>
    </row>
    <row r="351" spans="1:12" ht="14.55" customHeight="1" x14ac:dyDescent="0.3">
      <c r="A351" s="143">
        <v>23</v>
      </c>
      <c r="B351" s="144" t="s">
        <v>302</v>
      </c>
      <c r="C351" s="144" t="s">
        <v>303</v>
      </c>
      <c r="D351" s="144" t="s">
        <v>285</v>
      </c>
      <c r="E351" s="304" t="s">
        <v>312</v>
      </c>
      <c r="F351" s="161" t="s">
        <v>312</v>
      </c>
      <c r="G351" s="305">
        <v>0.2</v>
      </c>
      <c r="H351" s="149">
        <v>0.1</v>
      </c>
      <c r="I351" s="144"/>
      <c r="J351" s="144" t="s">
        <v>313</v>
      </c>
      <c r="K351" s="144"/>
      <c r="L351" s="144" t="s">
        <v>245</v>
      </c>
    </row>
    <row r="352" spans="1:12" ht="28.8" x14ac:dyDescent="0.3">
      <c r="A352" s="143">
        <v>23</v>
      </c>
      <c r="B352" s="144" t="s">
        <v>302</v>
      </c>
      <c r="C352" s="144" t="s">
        <v>303</v>
      </c>
      <c r="D352" s="144" t="s">
        <v>285</v>
      </c>
      <c r="E352" s="304"/>
      <c r="F352" s="161" t="s">
        <v>312</v>
      </c>
      <c r="G352" s="305"/>
      <c r="H352" s="149">
        <v>0.1</v>
      </c>
      <c r="I352" s="144"/>
      <c r="J352" s="144" t="s">
        <v>314</v>
      </c>
      <c r="K352" s="144"/>
      <c r="L352" s="144" t="s">
        <v>245</v>
      </c>
    </row>
    <row r="353" spans="1:12" ht="14.55" customHeight="1" x14ac:dyDescent="0.3">
      <c r="A353" s="143">
        <v>23</v>
      </c>
      <c r="B353" s="144" t="s">
        <v>302</v>
      </c>
      <c r="C353" s="144" t="s">
        <v>303</v>
      </c>
      <c r="D353" s="144" t="s">
        <v>285</v>
      </c>
      <c r="E353" s="300" t="s">
        <v>315</v>
      </c>
      <c r="F353" s="146" t="s">
        <v>315</v>
      </c>
      <c r="G353" s="302">
        <v>0.2</v>
      </c>
      <c r="H353" s="149">
        <v>0.05</v>
      </c>
      <c r="I353" s="144"/>
      <c r="J353" s="144" t="s">
        <v>316</v>
      </c>
      <c r="K353" s="144"/>
      <c r="L353" s="144" t="s">
        <v>245</v>
      </c>
    </row>
    <row r="354" spans="1:12" ht="28.8" x14ac:dyDescent="0.3">
      <c r="A354" s="143">
        <v>23</v>
      </c>
      <c r="B354" s="144" t="s">
        <v>302</v>
      </c>
      <c r="C354" s="144" t="s">
        <v>303</v>
      </c>
      <c r="D354" s="144" t="s">
        <v>285</v>
      </c>
      <c r="E354" s="300"/>
      <c r="F354" s="146" t="s">
        <v>315</v>
      </c>
      <c r="G354" s="302"/>
      <c r="H354" s="149">
        <v>0.1</v>
      </c>
      <c r="I354" s="144"/>
      <c r="J354" s="144" t="s">
        <v>317</v>
      </c>
      <c r="K354" s="144"/>
      <c r="L354" s="144" t="s">
        <v>245</v>
      </c>
    </row>
    <row r="355" spans="1:12" ht="28.8" x14ac:dyDescent="0.3">
      <c r="A355" s="143">
        <v>23</v>
      </c>
      <c r="B355" s="144" t="s">
        <v>302</v>
      </c>
      <c r="C355" s="144" t="s">
        <v>303</v>
      </c>
      <c r="D355" s="144" t="s">
        <v>285</v>
      </c>
      <c r="E355" s="300"/>
      <c r="F355" s="146" t="s">
        <v>315</v>
      </c>
      <c r="G355" s="302"/>
      <c r="H355" s="149">
        <v>0.05</v>
      </c>
      <c r="I355" s="144"/>
      <c r="J355" s="144" t="s">
        <v>318</v>
      </c>
      <c r="K355" s="144"/>
      <c r="L355" s="144" t="s">
        <v>245</v>
      </c>
    </row>
    <row r="356" spans="1:12" x14ac:dyDescent="0.3">
      <c r="A356" s="143">
        <v>23</v>
      </c>
      <c r="B356" s="144" t="s">
        <v>302</v>
      </c>
      <c r="C356" s="144" t="s">
        <v>303</v>
      </c>
      <c r="D356" s="144" t="s">
        <v>285</v>
      </c>
      <c r="E356" s="300" t="s">
        <v>319</v>
      </c>
      <c r="F356" s="146" t="s">
        <v>319</v>
      </c>
      <c r="G356" s="302">
        <v>0.2</v>
      </c>
      <c r="H356" s="149">
        <v>0.05</v>
      </c>
      <c r="I356" s="144"/>
      <c r="J356" s="144" t="s">
        <v>320</v>
      </c>
      <c r="K356" s="144"/>
      <c r="L356" s="144" t="s">
        <v>245</v>
      </c>
    </row>
    <row r="357" spans="1:12" x14ac:dyDescent="0.3">
      <c r="A357" s="143">
        <v>23</v>
      </c>
      <c r="B357" s="144" t="s">
        <v>302</v>
      </c>
      <c r="C357" s="144" t="s">
        <v>303</v>
      </c>
      <c r="D357" s="144" t="s">
        <v>285</v>
      </c>
      <c r="E357" s="300"/>
      <c r="F357" s="146" t="s">
        <v>319</v>
      </c>
      <c r="G357" s="302"/>
      <c r="H357" s="149">
        <v>0.05</v>
      </c>
      <c r="I357" s="144"/>
      <c r="J357" s="144" t="s">
        <v>321</v>
      </c>
      <c r="K357" s="144"/>
      <c r="L357" s="144" t="s">
        <v>245</v>
      </c>
    </row>
    <row r="358" spans="1:12" x14ac:dyDescent="0.3">
      <c r="A358" s="143">
        <v>23</v>
      </c>
      <c r="B358" s="144" t="s">
        <v>302</v>
      </c>
      <c r="C358" s="144" t="s">
        <v>303</v>
      </c>
      <c r="D358" s="144" t="s">
        <v>285</v>
      </c>
      <c r="E358" s="300"/>
      <c r="F358" s="146" t="s">
        <v>319</v>
      </c>
      <c r="G358" s="302"/>
      <c r="H358" s="149">
        <v>0.05</v>
      </c>
      <c r="I358" s="144"/>
      <c r="J358" s="144" t="s">
        <v>322</v>
      </c>
      <c r="K358" s="144"/>
      <c r="L358" s="144" t="s">
        <v>245</v>
      </c>
    </row>
    <row r="359" spans="1:12" x14ac:dyDescent="0.3">
      <c r="A359" s="143">
        <v>23</v>
      </c>
      <c r="B359" s="144" t="s">
        <v>302</v>
      </c>
      <c r="C359" s="144" t="s">
        <v>303</v>
      </c>
      <c r="D359" s="144" t="s">
        <v>285</v>
      </c>
      <c r="E359" s="300"/>
      <c r="F359" s="146" t="s">
        <v>319</v>
      </c>
      <c r="G359" s="302"/>
      <c r="H359" s="149">
        <v>0.05</v>
      </c>
      <c r="I359" s="144"/>
      <c r="J359" s="144" t="s">
        <v>323</v>
      </c>
      <c r="K359" s="144"/>
      <c r="L359" s="144" t="s">
        <v>245</v>
      </c>
    </row>
    <row r="360" spans="1:12" x14ac:dyDescent="0.3">
      <c r="A360" s="134">
        <v>24</v>
      </c>
      <c r="B360" s="134" t="s">
        <v>324</v>
      </c>
      <c r="C360" s="134" t="s">
        <v>325</v>
      </c>
      <c r="D360" s="135" t="s">
        <v>326</v>
      </c>
      <c r="E360" s="158" t="s">
        <v>327</v>
      </c>
      <c r="F360" s="158" t="s">
        <v>327</v>
      </c>
      <c r="G360" s="140">
        <v>0.1</v>
      </c>
      <c r="H360" s="140">
        <v>0.1</v>
      </c>
      <c r="I360" s="135"/>
      <c r="J360" s="135" t="s">
        <v>328</v>
      </c>
      <c r="K360" s="135"/>
      <c r="L360" s="135" t="s">
        <v>245</v>
      </c>
    </row>
    <row r="361" spans="1:12" x14ac:dyDescent="0.3">
      <c r="A361" s="134">
        <v>24</v>
      </c>
      <c r="B361" s="134" t="s">
        <v>324</v>
      </c>
      <c r="C361" s="134" t="s">
        <v>325</v>
      </c>
      <c r="D361" s="135" t="s">
        <v>326</v>
      </c>
      <c r="E361" s="158" t="s">
        <v>329</v>
      </c>
      <c r="F361" s="158" t="s">
        <v>329</v>
      </c>
      <c r="G361" s="140">
        <v>0.2</v>
      </c>
      <c r="H361" s="140">
        <v>0.2</v>
      </c>
      <c r="I361" s="135"/>
      <c r="J361" s="135" t="s">
        <v>330</v>
      </c>
      <c r="K361" s="135"/>
      <c r="L361" s="135" t="s">
        <v>245</v>
      </c>
    </row>
    <row r="362" spans="1:12" x14ac:dyDescent="0.3">
      <c r="A362" s="134">
        <v>24</v>
      </c>
      <c r="B362" s="134" t="s">
        <v>324</v>
      </c>
      <c r="C362" s="134" t="s">
        <v>325</v>
      </c>
      <c r="D362" s="135" t="s">
        <v>326</v>
      </c>
      <c r="E362" s="296" t="s">
        <v>274</v>
      </c>
      <c r="F362" s="137" t="s">
        <v>274</v>
      </c>
      <c r="G362" s="295">
        <v>0.2</v>
      </c>
      <c r="H362" s="140">
        <v>0.1</v>
      </c>
      <c r="I362" s="135"/>
      <c r="J362" s="135" t="s">
        <v>331</v>
      </c>
      <c r="K362" s="135"/>
      <c r="L362" s="135" t="s">
        <v>245</v>
      </c>
    </row>
    <row r="363" spans="1:12" x14ac:dyDescent="0.3">
      <c r="A363" s="134">
        <v>24</v>
      </c>
      <c r="B363" s="134" t="s">
        <v>324</v>
      </c>
      <c r="C363" s="134" t="s">
        <v>325</v>
      </c>
      <c r="D363" s="135" t="s">
        <v>326</v>
      </c>
      <c r="E363" s="296"/>
      <c r="F363" s="137" t="s">
        <v>274</v>
      </c>
      <c r="G363" s="295"/>
      <c r="H363" s="140">
        <v>0.1</v>
      </c>
      <c r="I363" s="135"/>
      <c r="J363" s="135" t="s">
        <v>332</v>
      </c>
      <c r="K363" s="135"/>
      <c r="L363" s="135" t="s">
        <v>245</v>
      </c>
    </row>
    <row r="364" spans="1:12" x14ac:dyDescent="0.3">
      <c r="A364" s="134">
        <v>24</v>
      </c>
      <c r="B364" s="134" t="s">
        <v>324</v>
      </c>
      <c r="C364" s="134" t="s">
        <v>325</v>
      </c>
      <c r="D364" s="135" t="s">
        <v>326</v>
      </c>
      <c r="E364" s="158" t="s">
        <v>277</v>
      </c>
      <c r="F364" s="158" t="s">
        <v>277</v>
      </c>
      <c r="G364" s="140">
        <v>0.1</v>
      </c>
      <c r="H364" s="140">
        <v>0.1</v>
      </c>
      <c r="I364" s="135"/>
      <c r="J364" s="135" t="s">
        <v>333</v>
      </c>
      <c r="K364" s="135"/>
      <c r="L364" s="135" t="s">
        <v>245</v>
      </c>
    </row>
    <row r="365" spans="1:12" x14ac:dyDescent="0.3">
      <c r="A365" s="134">
        <v>24</v>
      </c>
      <c r="B365" s="134" t="s">
        <v>324</v>
      </c>
      <c r="C365" s="134" t="s">
        <v>325</v>
      </c>
      <c r="D365" s="135" t="s">
        <v>326</v>
      </c>
      <c r="E365" s="158" t="s">
        <v>279</v>
      </c>
      <c r="F365" s="158" t="s">
        <v>279</v>
      </c>
      <c r="G365" s="140">
        <v>0.2</v>
      </c>
      <c r="H365" s="140">
        <v>0.2</v>
      </c>
      <c r="I365" s="135"/>
      <c r="J365" s="135" t="s">
        <v>280</v>
      </c>
      <c r="K365" s="135"/>
      <c r="L365" s="135" t="s">
        <v>245</v>
      </c>
    </row>
    <row r="366" spans="1:12" x14ac:dyDescent="0.3">
      <c r="A366" s="134">
        <v>24</v>
      </c>
      <c r="B366" s="134" t="s">
        <v>324</v>
      </c>
      <c r="C366" s="134" t="s">
        <v>325</v>
      </c>
      <c r="D366" s="135" t="s">
        <v>326</v>
      </c>
      <c r="E366" s="158" t="s">
        <v>281</v>
      </c>
      <c r="F366" s="158" t="s">
        <v>281</v>
      </c>
      <c r="G366" s="140">
        <v>0.2</v>
      </c>
      <c r="H366" s="140">
        <v>0.2</v>
      </c>
      <c r="I366" s="135"/>
      <c r="J366" s="135" t="s">
        <v>282</v>
      </c>
      <c r="K366" s="135"/>
      <c r="L366" s="135" t="s">
        <v>245</v>
      </c>
    </row>
    <row r="367" spans="1:12" ht="43.2" x14ac:dyDescent="0.3">
      <c r="A367" s="143">
        <v>25</v>
      </c>
      <c r="B367" s="188" t="s">
        <v>334</v>
      </c>
      <c r="C367" s="188" t="s">
        <v>335</v>
      </c>
      <c r="D367" s="144" t="s">
        <v>336</v>
      </c>
      <c r="E367" s="161" t="s">
        <v>337</v>
      </c>
      <c r="F367" s="161" t="s">
        <v>337</v>
      </c>
      <c r="G367" s="185">
        <v>0.1</v>
      </c>
      <c r="H367" s="185">
        <v>0.1</v>
      </c>
      <c r="I367" s="144"/>
      <c r="J367" s="161" t="s">
        <v>338</v>
      </c>
      <c r="K367" s="144"/>
      <c r="L367" s="144" t="s">
        <v>245</v>
      </c>
    </row>
    <row r="368" spans="1:12" ht="43.2" x14ac:dyDescent="0.3">
      <c r="A368" s="143">
        <v>25</v>
      </c>
      <c r="B368" s="188" t="s">
        <v>334</v>
      </c>
      <c r="C368" s="188" t="s">
        <v>335</v>
      </c>
      <c r="D368" s="144" t="s">
        <v>336</v>
      </c>
      <c r="E368" s="161" t="s">
        <v>339</v>
      </c>
      <c r="F368" s="161" t="s">
        <v>339</v>
      </c>
      <c r="G368" s="185">
        <v>0.2</v>
      </c>
      <c r="H368" s="185">
        <v>0.2</v>
      </c>
      <c r="I368" s="144"/>
      <c r="J368" s="145" t="s">
        <v>340</v>
      </c>
      <c r="K368" s="144"/>
      <c r="L368" s="144" t="s">
        <v>245</v>
      </c>
    </row>
    <row r="369" spans="1:12" ht="43.2" x14ac:dyDescent="0.3">
      <c r="A369" s="143">
        <v>25</v>
      </c>
      <c r="B369" s="188" t="s">
        <v>334</v>
      </c>
      <c r="C369" s="188" t="s">
        <v>335</v>
      </c>
      <c r="D369" s="144" t="s">
        <v>336</v>
      </c>
      <c r="E369" s="161" t="s">
        <v>341</v>
      </c>
      <c r="F369" s="161" t="s">
        <v>341</v>
      </c>
      <c r="G369" s="185">
        <v>0.1</v>
      </c>
      <c r="H369" s="185">
        <v>0.1</v>
      </c>
      <c r="I369" s="144"/>
      <c r="J369" s="145" t="s">
        <v>342</v>
      </c>
      <c r="K369" s="144"/>
      <c r="L369" s="144" t="s">
        <v>245</v>
      </c>
    </row>
    <row r="370" spans="1:12" ht="43.2" x14ac:dyDescent="0.3">
      <c r="A370" s="143">
        <v>25</v>
      </c>
      <c r="B370" s="188" t="s">
        <v>334</v>
      </c>
      <c r="C370" s="188" t="s">
        <v>335</v>
      </c>
      <c r="D370" s="144" t="s">
        <v>336</v>
      </c>
      <c r="E370" s="161" t="s">
        <v>343</v>
      </c>
      <c r="F370" s="161" t="s">
        <v>343</v>
      </c>
      <c r="G370" s="185">
        <v>0.2</v>
      </c>
      <c r="H370" s="185">
        <v>0.2</v>
      </c>
      <c r="I370" s="144"/>
      <c r="J370" s="161" t="s">
        <v>344</v>
      </c>
      <c r="K370" s="144"/>
      <c r="L370" s="144" t="s">
        <v>245</v>
      </c>
    </row>
    <row r="371" spans="1:12" ht="43.2" x14ac:dyDescent="0.3">
      <c r="A371" s="143">
        <v>25</v>
      </c>
      <c r="B371" s="188" t="s">
        <v>334</v>
      </c>
      <c r="C371" s="188" t="s">
        <v>335</v>
      </c>
      <c r="D371" s="144" t="s">
        <v>336</v>
      </c>
      <c r="E371" s="161" t="s">
        <v>345</v>
      </c>
      <c r="F371" s="161" t="s">
        <v>345</v>
      </c>
      <c r="G371" s="185">
        <v>0.1</v>
      </c>
      <c r="H371" s="185">
        <v>0.1</v>
      </c>
      <c r="I371" s="144"/>
      <c r="J371" s="161" t="s">
        <v>333</v>
      </c>
      <c r="K371" s="144"/>
      <c r="L371" s="144" t="s">
        <v>245</v>
      </c>
    </row>
    <row r="372" spans="1:12" ht="43.2" x14ac:dyDescent="0.3">
      <c r="A372" s="143">
        <v>25</v>
      </c>
      <c r="B372" s="188" t="s">
        <v>334</v>
      </c>
      <c r="C372" s="188" t="s">
        <v>335</v>
      </c>
      <c r="D372" s="144" t="s">
        <v>336</v>
      </c>
      <c r="E372" s="161" t="s">
        <v>346</v>
      </c>
      <c r="F372" s="161" t="s">
        <v>346</v>
      </c>
      <c r="G372" s="185">
        <v>0.1</v>
      </c>
      <c r="H372" s="185">
        <v>0.1</v>
      </c>
      <c r="I372" s="144"/>
      <c r="J372" s="161" t="s">
        <v>347</v>
      </c>
      <c r="K372" s="144"/>
      <c r="L372" s="144" t="s">
        <v>245</v>
      </c>
    </row>
    <row r="373" spans="1:12" ht="43.2" x14ac:dyDescent="0.3">
      <c r="A373" s="143">
        <v>25</v>
      </c>
      <c r="B373" s="188" t="s">
        <v>334</v>
      </c>
      <c r="C373" s="188" t="s">
        <v>335</v>
      </c>
      <c r="D373" s="144" t="s">
        <v>336</v>
      </c>
      <c r="E373" s="161" t="s">
        <v>348</v>
      </c>
      <c r="F373" s="161" t="s">
        <v>348</v>
      </c>
      <c r="G373" s="185">
        <v>0.2</v>
      </c>
      <c r="H373" s="185">
        <v>0.2</v>
      </c>
      <c r="I373" s="144"/>
      <c r="J373" s="161" t="s">
        <v>349</v>
      </c>
      <c r="K373" s="144"/>
      <c r="L373" s="144" t="s">
        <v>245</v>
      </c>
    </row>
    <row r="374" spans="1:12" ht="28.8" x14ac:dyDescent="0.3">
      <c r="A374" s="134">
        <v>26</v>
      </c>
      <c r="B374" s="135" t="s">
        <v>350</v>
      </c>
      <c r="C374" s="135" t="s">
        <v>351</v>
      </c>
      <c r="D374" s="135" t="s">
        <v>352</v>
      </c>
      <c r="E374" s="158" t="s">
        <v>353</v>
      </c>
      <c r="F374" s="158" t="s">
        <v>353</v>
      </c>
      <c r="G374" s="189">
        <v>0.05</v>
      </c>
      <c r="H374" s="184">
        <v>0.05</v>
      </c>
      <c r="I374" s="138">
        <v>1</v>
      </c>
      <c r="J374" s="165" t="s">
        <v>354</v>
      </c>
      <c r="K374" s="165"/>
      <c r="L374" s="135" t="s">
        <v>501</v>
      </c>
    </row>
    <row r="375" spans="1:12" x14ac:dyDescent="0.3">
      <c r="A375" s="134">
        <v>26</v>
      </c>
      <c r="B375" s="135" t="s">
        <v>350</v>
      </c>
      <c r="C375" s="135" t="s">
        <v>351</v>
      </c>
      <c r="D375" s="135" t="s">
        <v>352</v>
      </c>
      <c r="E375" s="319" t="s">
        <v>355</v>
      </c>
      <c r="F375" s="158" t="s">
        <v>355</v>
      </c>
      <c r="G375" s="320">
        <v>0.2</v>
      </c>
      <c r="H375" s="184">
        <v>0.1</v>
      </c>
      <c r="I375" s="138">
        <v>1</v>
      </c>
      <c r="J375" s="167" t="s">
        <v>356</v>
      </c>
      <c r="K375" s="167"/>
      <c r="L375" s="135" t="s">
        <v>501</v>
      </c>
    </row>
    <row r="376" spans="1:12" x14ac:dyDescent="0.3">
      <c r="A376" s="134">
        <v>26</v>
      </c>
      <c r="B376" s="135" t="s">
        <v>350</v>
      </c>
      <c r="C376" s="135" t="s">
        <v>351</v>
      </c>
      <c r="D376" s="135" t="s">
        <v>352</v>
      </c>
      <c r="E376" s="319"/>
      <c r="F376" s="158" t="s">
        <v>355</v>
      </c>
      <c r="G376" s="320"/>
      <c r="H376" s="184">
        <v>0.1</v>
      </c>
      <c r="I376" s="138" t="s">
        <v>224</v>
      </c>
      <c r="J376" s="167" t="s">
        <v>357</v>
      </c>
      <c r="K376" s="167"/>
      <c r="L376" s="135" t="s">
        <v>501</v>
      </c>
    </row>
    <row r="377" spans="1:12" ht="28.8" x14ac:dyDescent="0.3">
      <c r="A377" s="134">
        <v>26</v>
      </c>
      <c r="B377" s="135" t="s">
        <v>350</v>
      </c>
      <c r="C377" s="135" t="s">
        <v>351</v>
      </c>
      <c r="D377" s="135" t="s">
        <v>352</v>
      </c>
      <c r="E377" s="158" t="s">
        <v>358</v>
      </c>
      <c r="F377" s="158" t="s">
        <v>358</v>
      </c>
      <c r="G377" s="189">
        <v>0.1</v>
      </c>
      <c r="H377" s="184">
        <v>0.1</v>
      </c>
      <c r="I377" s="138" t="s">
        <v>359</v>
      </c>
      <c r="J377" s="165" t="s">
        <v>360</v>
      </c>
      <c r="K377" s="165"/>
      <c r="L377" s="135" t="s">
        <v>501</v>
      </c>
    </row>
    <row r="378" spans="1:12" ht="14.55" customHeight="1" x14ac:dyDescent="0.3">
      <c r="A378" s="134">
        <v>26</v>
      </c>
      <c r="B378" s="135" t="s">
        <v>350</v>
      </c>
      <c r="C378" s="135" t="s">
        <v>351</v>
      </c>
      <c r="D378" s="135" t="s">
        <v>352</v>
      </c>
      <c r="E378" s="296" t="s">
        <v>361</v>
      </c>
      <c r="F378" s="137" t="s">
        <v>361</v>
      </c>
      <c r="G378" s="321">
        <v>0.1</v>
      </c>
      <c r="H378" s="184">
        <v>0.05</v>
      </c>
      <c r="I378" s="138"/>
      <c r="J378" s="175" t="s">
        <v>362</v>
      </c>
      <c r="K378" s="175"/>
      <c r="L378" s="135" t="s">
        <v>501</v>
      </c>
    </row>
    <row r="379" spans="1:12" ht="28.8" x14ac:dyDescent="0.3">
      <c r="A379" s="134">
        <v>26</v>
      </c>
      <c r="B379" s="135" t="s">
        <v>350</v>
      </c>
      <c r="C379" s="135" t="s">
        <v>351</v>
      </c>
      <c r="D379" s="135" t="s">
        <v>352</v>
      </c>
      <c r="E379" s="296"/>
      <c r="F379" s="137" t="s">
        <v>361</v>
      </c>
      <c r="G379" s="321"/>
      <c r="H379" s="184">
        <v>0.05</v>
      </c>
      <c r="I379" s="138" t="s">
        <v>224</v>
      </c>
      <c r="J379" s="175" t="s">
        <v>363</v>
      </c>
      <c r="K379" s="175"/>
      <c r="L379" s="135" t="s">
        <v>501</v>
      </c>
    </row>
    <row r="380" spans="1:12" ht="43.2" x14ac:dyDescent="0.3">
      <c r="A380" s="134">
        <v>26</v>
      </c>
      <c r="B380" s="175" t="s">
        <v>350</v>
      </c>
      <c r="C380" s="175" t="s">
        <v>351</v>
      </c>
      <c r="D380" s="175" t="s">
        <v>352</v>
      </c>
      <c r="E380" s="136" t="s">
        <v>364</v>
      </c>
      <c r="F380" s="136" t="s">
        <v>364</v>
      </c>
      <c r="G380" s="184">
        <v>0.2</v>
      </c>
      <c r="H380" s="184">
        <v>0.2</v>
      </c>
      <c r="I380" s="175"/>
      <c r="J380" s="175" t="s">
        <v>364</v>
      </c>
      <c r="K380" s="175"/>
      <c r="L380" s="135" t="s">
        <v>501</v>
      </c>
    </row>
    <row r="381" spans="1:12" ht="28.8" x14ac:dyDescent="0.3">
      <c r="A381" s="134">
        <v>26</v>
      </c>
      <c r="B381" s="135" t="s">
        <v>350</v>
      </c>
      <c r="C381" s="135" t="s">
        <v>351</v>
      </c>
      <c r="D381" s="135" t="s">
        <v>352</v>
      </c>
      <c r="E381" s="136" t="s">
        <v>365</v>
      </c>
      <c r="F381" s="136" t="s">
        <v>365</v>
      </c>
      <c r="G381" s="184">
        <v>0.1</v>
      </c>
      <c r="H381" s="184">
        <v>0.1</v>
      </c>
      <c r="I381" s="138"/>
      <c r="J381" s="175" t="s">
        <v>365</v>
      </c>
      <c r="K381" s="175"/>
      <c r="L381" s="135" t="s">
        <v>501</v>
      </c>
    </row>
    <row r="382" spans="1:12" ht="43.2" x14ac:dyDescent="0.3">
      <c r="A382" s="134">
        <v>26</v>
      </c>
      <c r="B382" s="135" t="s">
        <v>350</v>
      </c>
      <c r="C382" s="135" t="s">
        <v>351</v>
      </c>
      <c r="D382" s="135" t="s">
        <v>352</v>
      </c>
      <c r="E382" s="136" t="s">
        <v>366</v>
      </c>
      <c r="F382" s="136" t="s">
        <v>366</v>
      </c>
      <c r="G382" s="184">
        <v>0.1</v>
      </c>
      <c r="H382" s="184">
        <v>0.1</v>
      </c>
      <c r="I382" s="138"/>
      <c r="J382" s="175" t="s">
        <v>366</v>
      </c>
      <c r="K382" s="175"/>
      <c r="L382" s="135" t="s">
        <v>501</v>
      </c>
    </row>
    <row r="383" spans="1:12" ht="43.2" x14ac:dyDescent="0.3">
      <c r="A383" s="134">
        <v>26</v>
      </c>
      <c r="B383" s="135" t="s">
        <v>350</v>
      </c>
      <c r="C383" s="135" t="s">
        <v>351</v>
      </c>
      <c r="D383" s="135" t="s">
        <v>352</v>
      </c>
      <c r="E383" s="136" t="s">
        <v>367</v>
      </c>
      <c r="F383" s="136" t="s">
        <v>367</v>
      </c>
      <c r="G383" s="184">
        <v>0.05</v>
      </c>
      <c r="H383" s="184">
        <v>0.05</v>
      </c>
      <c r="I383" s="138"/>
      <c r="J383" s="175" t="s">
        <v>367</v>
      </c>
      <c r="K383" s="175"/>
      <c r="L383" s="135" t="s">
        <v>501</v>
      </c>
    </row>
    <row r="384" spans="1:12" ht="28.8" x14ac:dyDescent="0.3">
      <c r="A384" s="134">
        <v>26</v>
      </c>
      <c r="B384" s="135" t="s">
        <v>350</v>
      </c>
      <c r="C384" s="135" t="s">
        <v>351</v>
      </c>
      <c r="D384" s="135" t="s">
        <v>352</v>
      </c>
      <c r="E384" s="136" t="s">
        <v>368</v>
      </c>
      <c r="F384" s="136" t="s">
        <v>368</v>
      </c>
      <c r="G384" s="184">
        <v>0.05</v>
      </c>
      <c r="H384" s="184">
        <v>0.05</v>
      </c>
      <c r="I384" s="138"/>
      <c r="J384" s="175" t="s">
        <v>368</v>
      </c>
      <c r="K384" s="175"/>
      <c r="L384" s="135" t="s">
        <v>501</v>
      </c>
    </row>
    <row r="385" spans="1:12" ht="43.2" x14ac:dyDescent="0.3">
      <c r="A385" s="134">
        <v>26</v>
      </c>
      <c r="B385" s="135" t="s">
        <v>350</v>
      </c>
      <c r="C385" s="135" t="s">
        <v>351</v>
      </c>
      <c r="D385" s="135" t="s">
        <v>352</v>
      </c>
      <c r="E385" s="136" t="s">
        <v>369</v>
      </c>
      <c r="F385" s="136" t="s">
        <v>369</v>
      </c>
      <c r="G385" s="184">
        <v>0.05</v>
      </c>
      <c r="H385" s="184">
        <v>0.05</v>
      </c>
      <c r="I385" s="138"/>
      <c r="J385" s="175" t="s">
        <v>369</v>
      </c>
      <c r="K385" s="175"/>
      <c r="L385" s="135" t="s">
        <v>501</v>
      </c>
    </row>
    <row r="386" spans="1:12" ht="14.55" customHeight="1" x14ac:dyDescent="0.3">
      <c r="A386" s="143">
        <v>27</v>
      </c>
      <c r="B386" s="144" t="s">
        <v>370</v>
      </c>
      <c r="C386" s="144" t="s">
        <v>371</v>
      </c>
      <c r="D386" s="144" t="s">
        <v>372</v>
      </c>
      <c r="E386" s="300" t="s">
        <v>353</v>
      </c>
      <c r="F386" s="146" t="s">
        <v>353</v>
      </c>
      <c r="G386" s="323">
        <v>7.4999999999999997E-2</v>
      </c>
      <c r="H386" s="191">
        <v>0.05</v>
      </c>
      <c r="I386" s="147">
        <v>1</v>
      </c>
      <c r="J386" s="144" t="s">
        <v>373</v>
      </c>
      <c r="K386" s="144"/>
      <c r="L386" s="144" t="s">
        <v>501</v>
      </c>
    </row>
    <row r="387" spans="1:12" ht="28.8" x14ac:dyDescent="0.3">
      <c r="A387" s="143">
        <v>27</v>
      </c>
      <c r="B387" s="144" t="s">
        <v>370</v>
      </c>
      <c r="C387" s="144" t="s">
        <v>371</v>
      </c>
      <c r="D387" s="144" t="s">
        <v>372</v>
      </c>
      <c r="E387" s="300"/>
      <c r="F387" s="146" t="s">
        <v>353</v>
      </c>
      <c r="G387" s="323"/>
      <c r="H387" s="191">
        <v>2.5000000000000001E-2</v>
      </c>
      <c r="I387" s="147"/>
      <c r="J387" s="172" t="s">
        <v>374</v>
      </c>
      <c r="K387" s="172"/>
      <c r="L387" s="144" t="s">
        <v>501</v>
      </c>
    </row>
    <row r="388" spans="1:12" ht="14.55" customHeight="1" x14ac:dyDescent="0.3">
      <c r="A388" s="143">
        <v>27</v>
      </c>
      <c r="B388" s="144" t="s">
        <v>370</v>
      </c>
      <c r="C388" s="144" t="s">
        <v>371</v>
      </c>
      <c r="D388" s="144" t="s">
        <v>372</v>
      </c>
      <c r="E388" s="304" t="s">
        <v>375</v>
      </c>
      <c r="F388" s="161" t="s">
        <v>375</v>
      </c>
      <c r="G388" s="323">
        <v>0.05</v>
      </c>
      <c r="H388" s="191">
        <v>2.5000000000000001E-2</v>
      </c>
      <c r="I388" s="147" t="s">
        <v>376</v>
      </c>
      <c r="J388" s="170" t="s">
        <v>377</v>
      </c>
      <c r="K388" s="170"/>
      <c r="L388" s="144" t="s">
        <v>501</v>
      </c>
    </row>
    <row r="389" spans="1:12" ht="28.8" x14ac:dyDescent="0.3">
      <c r="A389" s="143">
        <v>27</v>
      </c>
      <c r="B389" s="144" t="s">
        <v>370</v>
      </c>
      <c r="C389" s="144" t="s">
        <v>371</v>
      </c>
      <c r="D389" s="144" t="s">
        <v>372</v>
      </c>
      <c r="E389" s="304"/>
      <c r="F389" s="161" t="s">
        <v>375</v>
      </c>
      <c r="G389" s="323"/>
      <c r="H389" s="191">
        <v>2.5000000000000001E-2</v>
      </c>
      <c r="I389" s="169"/>
      <c r="J389" s="192" t="s">
        <v>378</v>
      </c>
      <c r="K389" s="192"/>
      <c r="L389" s="144" t="s">
        <v>501</v>
      </c>
    </row>
    <row r="390" spans="1:12" x14ac:dyDescent="0.3">
      <c r="A390" s="143">
        <v>27</v>
      </c>
      <c r="B390" s="144" t="s">
        <v>370</v>
      </c>
      <c r="C390" s="144" t="s">
        <v>371</v>
      </c>
      <c r="D390" s="144" t="s">
        <v>372</v>
      </c>
      <c r="E390" s="304" t="s">
        <v>379</v>
      </c>
      <c r="F390" s="161" t="s">
        <v>379</v>
      </c>
      <c r="G390" s="323">
        <v>0.05</v>
      </c>
      <c r="H390" s="191">
        <v>2.5000000000000001E-2</v>
      </c>
      <c r="I390" s="147"/>
      <c r="J390" s="172" t="s">
        <v>380</v>
      </c>
      <c r="K390" s="172"/>
      <c r="L390" s="144" t="s">
        <v>501</v>
      </c>
    </row>
    <row r="391" spans="1:12" x14ac:dyDescent="0.3">
      <c r="A391" s="143">
        <v>27</v>
      </c>
      <c r="B391" s="144" t="s">
        <v>370</v>
      </c>
      <c r="C391" s="144" t="s">
        <v>371</v>
      </c>
      <c r="D391" s="144" t="s">
        <v>372</v>
      </c>
      <c r="E391" s="304"/>
      <c r="F391" s="161" t="s">
        <v>379</v>
      </c>
      <c r="G391" s="323"/>
      <c r="H391" s="191">
        <v>2.5000000000000001E-2</v>
      </c>
      <c r="I391" s="147">
        <v>0.85</v>
      </c>
      <c r="J391" s="172" t="s">
        <v>381</v>
      </c>
      <c r="K391" s="172"/>
      <c r="L391" s="144" t="s">
        <v>501</v>
      </c>
    </row>
    <row r="392" spans="1:12" x14ac:dyDescent="0.3">
      <c r="A392" s="143">
        <v>27</v>
      </c>
      <c r="B392" s="144" t="s">
        <v>370</v>
      </c>
      <c r="C392" s="144" t="s">
        <v>371</v>
      </c>
      <c r="D392" s="144" t="s">
        <v>372</v>
      </c>
      <c r="E392" s="304" t="s">
        <v>355</v>
      </c>
      <c r="F392" s="161" t="s">
        <v>355</v>
      </c>
      <c r="G392" s="322">
        <v>0.1</v>
      </c>
      <c r="H392" s="191">
        <v>0.05</v>
      </c>
      <c r="I392" s="147">
        <v>1</v>
      </c>
      <c r="J392" s="172" t="s">
        <v>356</v>
      </c>
      <c r="K392" s="172"/>
      <c r="L392" s="144" t="s">
        <v>501</v>
      </c>
    </row>
    <row r="393" spans="1:12" x14ac:dyDescent="0.3">
      <c r="A393" s="143">
        <v>27</v>
      </c>
      <c r="B393" s="144" t="s">
        <v>370</v>
      </c>
      <c r="C393" s="144" t="s">
        <v>371</v>
      </c>
      <c r="D393" s="144" t="s">
        <v>372</v>
      </c>
      <c r="E393" s="304"/>
      <c r="F393" s="161" t="s">
        <v>355</v>
      </c>
      <c r="G393" s="322"/>
      <c r="H393" s="191">
        <v>0.05</v>
      </c>
      <c r="I393" s="147" t="s">
        <v>224</v>
      </c>
      <c r="J393" s="172" t="s">
        <v>357</v>
      </c>
      <c r="K393" s="172"/>
      <c r="L393" s="144" t="s">
        <v>501</v>
      </c>
    </row>
    <row r="394" spans="1:12" ht="14.55" customHeight="1" x14ac:dyDescent="0.3">
      <c r="A394" s="143">
        <v>27</v>
      </c>
      <c r="B394" s="144" t="s">
        <v>370</v>
      </c>
      <c r="C394" s="144" t="s">
        <v>371</v>
      </c>
      <c r="D394" s="144" t="s">
        <v>372</v>
      </c>
      <c r="E394" s="300" t="s">
        <v>382</v>
      </c>
      <c r="F394" s="146" t="s">
        <v>382</v>
      </c>
      <c r="G394" s="323">
        <v>0.1</v>
      </c>
      <c r="H394" s="191">
        <v>0.05</v>
      </c>
      <c r="I394" s="147">
        <v>1</v>
      </c>
      <c r="J394" s="172" t="s">
        <v>383</v>
      </c>
      <c r="K394" s="172"/>
      <c r="L394" s="144" t="s">
        <v>501</v>
      </c>
    </row>
    <row r="395" spans="1:12" ht="43.2" x14ac:dyDescent="0.3">
      <c r="A395" s="143">
        <v>27</v>
      </c>
      <c r="B395" s="144" t="s">
        <v>370</v>
      </c>
      <c r="C395" s="144" t="s">
        <v>371</v>
      </c>
      <c r="D395" s="144" t="s">
        <v>372</v>
      </c>
      <c r="E395" s="300"/>
      <c r="F395" s="146" t="s">
        <v>382</v>
      </c>
      <c r="G395" s="323"/>
      <c r="H395" s="191">
        <v>0.05</v>
      </c>
      <c r="I395" s="147">
        <v>0.3</v>
      </c>
      <c r="J395" s="172" t="s">
        <v>384</v>
      </c>
      <c r="K395" s="172"/>
      <c r="L395" s="144" t="s">
        <v>501</v>
      </c>
    </row>
    <row r="396" spans="1:12" x14ac:dyDescent="0.3">
      <c r="A396" s="143">
        <v>27</v>
      </c>
      <c r="B396" s="144" t="s">
        <v>370</v>
      </c>
      <c r="C396" s="144" t="s">
        <v>371</v>
      </c>
      <c r="D396" s="144" t="s">
        <v>372</v>
      </c>
      <c r="E396" s="145" t="s">
        <v>126</v>
      </c>
      <c r="F396" s="145" t="s">
        <v>126</v>
      </c>
      <c r="G396" s="190">
        <v>0.05</v>
      </c>
      <c r="H396" s="191">
        <v>0.05</v>
      </c>
      <c r="I396" s="147">
        <v>1</v>
      </c>
      <c r="J396" s="193" t="s">
        <v>385</v>
      </c>
      <c r="K396" s="193"/>
      <c r="L396" s="144" t="s">
        <v>501</v>
      </c>
    </row>
    <row r="397" spans="1:12" ht="14.55" customHeight="1" x14ac:dyDescent="0.3">
      <c r="A397" s="143">
        <v>27</v>
      </c>
      <c r="B397" s="144" t="s">
        <v>370</v>
      </c>
      <c r="C397" s="144" t="s">
        <v>371</v>
      </c>
      <c r="D397" s="144" t="s">
        <v>372</v>
      </c>
      <c r="E397" s="300" t="s">
        <v>358</v>
      </c>
      <c r="F397" s="146" t="s">
        <v>358</v>
      </c>
      <c r="G397" s="323">
        <v>0.25</v>
      </c>
      <c r="H397" s="191">
        <v>0.1</v>
      </c>
      <c r="I397" s="147" t="s">
        <v>359</v>
      </c>
      <c r="J397" s="170" t="s">
        <v>360</v>
      </c>
      <c r="K397" s="170"/>
      <c r="L397" s="144" t="s">
        <v>501</v>
      </c>
    </row>
    <row r="398" spans="1:12" ht="28.8" x14ac:dyDescent="0.3">
      <c r="A398" s="143">
        <v>27</v>
      </c>
      <c r="B398" s="144" t="s">
        <v>370</v>
      </c>
      <c r="C398" s="144" t="s">
        <v>371</v>
      </c>
      <c r="D398" s="144" t="s">
        <v>372</v>
      </c>
      <c r="E398" s="300"/>
      <c r="F398" s="146" t="s">
        <v>358</v>
      </c>
      <c r="G398" s="323"/>
      <c r="H398" s="191">
        <v>0.05</v>
      </c>
      <c r="I398" s="147"/>
      <c r="J398" s="170" t="s">
        <v>386</v>
      </c>
      <c r="K398" s="170"/>
      <c r="L398" s="144" t="s">
        <v>501</v>
      </c>
    </row>
    <row r="399" spans="1:12" ht="28.8" x14ac:dyDescent="0.3">
      <c r="A399" s="143">
        <v>27</v>
      </c>
      <c r="B399" s="144" t="s">
        <v>370</v>
      </c>
      <c r="C399" s="144" t="s">
        <v>371</v>
      </c>
      <c r="D399" s="144" t="s">
        <v>372</v>
      </c>
      <c r="E399" s="300"/>
      <c r="F399" s="146" t="s">
        <v>358</v>
      </c>
      <c r="G399" s="323"/>
      <c r="H399" s="191">
        <v>0.05</v>
      </c>
      <c r="I399" s="147"/>
      <c r="J399" s="170" t="s">
        <v>387</v>
      </c>
      <c r="K399" s="170"/>
      <c r="L399" s="144" t="s">
        <v>501</v>
      </c>
    </row>
    <row r="400" spans="1:12" ht="28.8" x14ac:dyDescent="0.3">
      <c r="A400" s="143">
        <v>27</v>
      </c>
      <c r="B400" s="144" t="s">
        <v>370</v>
      </c>
      <c r="C400" s="144" t="s">
        <v>371</v>
      </c>
      <c r="D400" s="144" t="s">
        <v>372</v>
      </c>
      <c r="E400" s="300"/>
      <c r="F400" s="146" t="s">
        <v>358</v>
      </c>
      <c r="G400" s="323"/>
      <c r="H400" s="191">
        <v>0.05</v>
      </c>
      <c r="I400" s="147">
        <v>1</v>
      </c>
      <c r="J400" s="172" t="s">
        <v>388</v>
      </c>
      <c r="K400" s="172"/>
      <c r="L400" s="144" t="s">
        <v>501</v>
      </c>
    </row>
    <row r="401" spans="1:12" ht="14.55" customHeight="1" x14ac:dyDescent="0.3">
      <c r="A401" s="143">
        <v>27</v>
      </c>
      <c r="B401" s="144" t="s">
        <v>370</v>
      </c>
      <c r="C401" s="144" t="s">
        <v>371</v>
      </c>
      <c r="D401" s="144" t="s">
        <v>372</v>
      </c>
      <c r="E401" s="300" t="s">
        <v>361</v>
      </c>
      <c r="F401" s="146" t="s">
        <v>361</v>
      </c>
      <c r="G401" s="323">
        <v>0.05</v>
      </c>
      <c r="H401" s="191">
        <v>2.5000000000000001E-2</v>
      </c>
      <c r="I401" s="147"/>
      <c r="J401" s="193" t="s">
        <v>362</v>
      </c>
      <c r="K401" s="193"/>
      <c r="L401" s="144" t="s">
        <v>501</v>
      </c>
    </row>
    <row r="402" spans="1:12" ht="28.8" x14ac:dyDescent="0.3">
      <c r="A402" s="143">
        <v>27</v>
      </c>
      <c r="B402" s="144" t="s">
        <v>370</v>
      </c>
      <c r="C402" s="144" t="s">
        <v>371</v>
      </c>
      <c r="D402" s="144" t="s">
        <v>372</v>
      </c>
      <c r="E402" s="300"/>
      <c r="F402" s="146" t="s">
        <v>361</v>
      </c>
      <c r="G402" s="323"/>
      <c r="H402" s="191">
        <v>2.5000000000000001E-2</v>
      </c>
      <c r="I402" s="147" t="s">
        <v>224</v>
      </c>
      <c r="J402" s="193" t="s">
        <v>363</v>
      </c>
      <c r="K402" s="193"/>
      <c r="L402" s="144" t="s">
        <v>501</v>
      </c>
    </row>
    <row r="403" spans="1:12" ht="43.2" x14ac:dyDescent="0.3">
      <c r="A403" s="143">
        <v>27</v>
      </c>
      <c r="B403" s="144" t="s">
        <v>370</v>
      </c>
      <c r="C403" s="144" t="s">
        <v>371</v>
      </c>
      <c r="D403" s="144" t="s">
        <v>372</v>
      </c>
      <c r="E403" s="145" t="s">
        <v>389</v>
      </c>
      <c r="F403" s="145" t="s">
        <v>389</v>
      </c>
      <c r="G403" s="194">
        <v>0.15</v>
      </c>
      <c r="H403" s="195">
        <v>0.15</v>
      </c>
      <c r="I403" s="179"/>
      <c r="J403" s="193" t="s">
        <v>389</v>
      </c>
      <c r="K403" s="193"/>
      <c r="L403" s="144" t="s">
        <v>501</v>
      </c>
    </row>
    <row r="404" spans="1:12" ht="43.2" x14ac:dyDescent="0.3">
      <c r="A404" s="143">
        <v>27</v>
      </c>
      <c r="B404" s="144" t="s">
        <v>370</v>
      </c>
      <c r="C404" s="144" t="s">
        <v>371</v>
      </c>
      <c r="D404" s="144" t="s">
        <v>372</v>
      </c>
      <c r="E404" s="145" t="s">
        <v>390</v>
      </c>
      <c r="F404" s="145" t="s">
        <v>390</v>
      </c>
      <c r="G404" s="195">
        <v>2.5000000000000001E-2</v>
      </c>
      <c r="H404" s="195">
        <v>2.5000000000000001E-2</v>
      </c>
      <c r="I404" s="179"/>
      <c r="J404" s="193" t="s">
        <v>390</v>
      </c>
      <c r="K404" s="193"/>
      <c r="L404" s="144" t="s">
        <v>501</v>
      </c>
    </row>
    <row r="405" spans="1:12" ht="57.6" x14ac:dyDescent="0.3">
      <c r="A405" s="143">
        <v>27</v>
      </c>
      <c r="B405" s="144" t="s">
        <v>370</v>
      </c>
      <c r="C405" s="144" t="s">
        <v>371</v>
      </c>
      <c r="D405" s="144" t="s">
        <v>372</v>
      </c>
      <c r="E405" s="145" t="s">
        <v>391</v>
      </c>
      <c r="F405" s="145" t="s">
        <v>391</v>
      </c>
      <c r="G405" s="195">
        <v>2.5000000000000001E-2</v>
      </c>
      <c r="H405" s="195">
        <v>2.5000000000000001E-2</v>
      </c>
      <c r="I405" s="179"/>
      <c r="J405" s="193" t="s">
        <v>391</v>
      </c>
      <c r="K405" s="193"/>
      <c r="L405" s="144" t="s">
        <v>501</v>
      </c>
    </row>
    <row r="406" spans="1:12" ht="43.2" x14ac:dyDescent="0.3">
      <c r="A406" s="143">
        <v>27</v>
      </c>
      <c r="B406" s="144" t="s">
        <v>370</v>
      </c>
      <c r="C406" s="144" t="s">
        <v>371</v>
      </c>
      <c r="D406" s="144" t="s">
        <v>372</v>
      </c>
      <c r="E406" s="145" t="s">
        <v>392</v>
      </c>
      <c r="F406" s="145" t="s">
        <v>392</v>
      </c>
      <c r="G406" s="195">
        <v>2.5000000000000001E-2</v>
      </c>
      <c r="H406" s="195">
        <v>2.5000000000000001E-2</v>
      </c>
      <c r="I406" s="179"/>
      <c r="J406" s="193" t="s">
        <v>392</v>
      </c>
      <c r="K406" s="193"/>
      <c r="L406" s="144" t="s">
        <v>501</v>
      </c>
    </row>
    <row r="407" spans="1:12" ht="43.2" x14ac:dyDescent="0.3">
      <c r="A407" s="143">
        <v>27</v>
      </c>
      <c r="B407" s="144" t="s">
        <v>370</v>
      </c>
      <c r="C407" s="144" t="s">
        <v>371</v>
      </c>
      <c r="D407" s="144" t="s">
        <v>372</v>
      </c>
      <c r="E407" s="145" t="s">
        <v>393</v>
      </c>
      <c r="F407" s="145" t="s">
        <v>393</v>
      </c>
      <c r="G407" s="195">
        <v>0.05</v>
      </c>
      <c r="H407" s="195">
        <v>0.05</v>
      </c>
      <c r="I407" s="179"/>
      <c r="J407" s="193" t="s">
        <v>393</v>
      </c>
      <c r="K407" s="193"/>
      <c r="L407" s="144" t="s">
        <v>501</v>
      </c>
    </row>
    <row r="408" spans="1:12" ht="28.8" x14ac:dyDescent="0.3">
      <c r="A408" s="134">
        <v>28</v>
      </c>
      <c r="B408" s="135" t="s">
        <v>394</v>
      </c>
      <c r="C408" s="135" t="s">
        <v>395</v>
      </c>
      <c r="D408" s="135" t="s">
        <v>396</v>
      </c>
      <c r="E408" s="158" t="s">
        <v>353</v>
      </c>
      <c r="F408" s="158" t="s">
        <v>353</v>
      </c>
      <c r="G408" s="184">
        <v>0.15</v>
      </c>
      <c r="H408" s="184">
        <v>0.15</v>
      </c>
      <c r="I408" s="138">
        <v>1</v>
      </c>
      <c r="J408" s="165" t="s">
        <v>397</v>
      </c>
      <c r="K408" s="165"/>
      <c r="L408" s="135" t="s">
        <v>501</v>
      </c>
    </row>
    <row r="409" spans="1:12" ht="28.8" x14ac:dyDescent="0.3">
      <c r="A409" s="134">
        <v>28</v>
      </c>
      <c r="B409" s="135" t="s">
        <v>394</v>
      </c>
      <c r="C409" s="135" t="s">
        <v>395</v>
      </c>
      <c r="D409" s="135" t="s">
        <v>396</v>
      </c>
      <c r="E409" s="158" t="s">
        <v>375</v>
      </c>
      <c r="F409" s="158" t="s">
        <v>375</v>
      </c>
      <c r="G409" s="184">
        <v>0.1</v>
      </c>
      <c r="H409" s="184">
        <v>0.1</v>
      </c>
      <c r="I409" s="138"/>
      <c r="J409" s="167" t="s">
        <v>398</v>
      </c>
      <c r="K409" s="167"/>
      <c r="L409" s="135" t="s">
        <v>501</v>
      </c>
    </row>
    <row r="410" spans="1:12" ht="28.8" x14ac:dyDescent="0.3">
      <c r="A410" s="134">
        <v>28</v>
      </c>
      <c r="B410" s="135" t="s">
        <v>394</v>
      </c>
      <c r="C410" s="135" t="s">
        <v>395</v>
      </c>
      <c r="D410" s="135" t="s">
        <v>396</v>
      </c>
      <c r="E410" s="158" t="s">
        <v>358</v>
      </c>
      <c r="F410" s="158" t="s">
        <v>358</v>
      </c>
      <c r="G410" s="184">
        <v>0.1</v>
      </c>
      <c r="H410" s="184">
        <v>0.1</v>
      </c>
      <c r="I410" s="138" t="s">
        <v>359</v>
      </c>
      <c r="J410" s="165" t="s">
        <v>360</v>
      </c>
      <c r="K410" s="165"/>
      <c r="L410" s="135" t="s">
        <v>501</v>
      </c>
    </row>
    <row r="411" spans="1:12" ht="14.55" customHeight="1" x14ac:dyDescent="0.3">
      <c r="A411" s="134">
        <v>28</v>
      </c>
      <c r="B411" s="135" t="s">
        <v>394</v>
      </c>
      <c r="C411" s="135" t="s">
        <v>395</v>
      </c>
      <c r="D411" s="135" t="s">
        <v>396</v>
      </c>
      <c r="E411" s="296" t="s">
        <v>358</v>
      </c>
      <c r="F411" s="137" t="s">
        <v>358</v>
      </c>
      <c r="G411" s="320">
        <v>0.1</v>
      </c>
      <c r="H411" s="184">
        <v>0.05</v>
      </c>
      <c r="I411" s="138"/>
      <c r="J411" s="165" t="s">
        <v>399</v>
      </c>
      <c r="K411" s="165"/>
      <c r="L411" s="135" t="s">
        <v>501</v>
      </c>
    </row>
    <row r="412" spans="1:12" ht="28.8" x14ac:dyDescent="0.3">
      <c r="A412" s="134">
        <v>28</v>
      </c>
      <c r="B412" s="135" t="s">
        <v>394</v>
      </c>
      <c r="C412" s="135" t="s">
        <v>395</v>
      </c>
      <c r="D412" s="135" t="s">
        <v>396</v>
      </c>
      <c r="E412" s="296"/>
      <c r="F412" s="137" t="s">
        <v>358</v>
      </c>
      <c r="G412" s="320"/>
      <c r="H412" s="184">
        <v>0.05</v>
      </c>
      <c r="I412" s="138"/>
      <c r="J412" s="165" t="s">
        <v>387</v>
      </c>
      <c r="K412" s="165"/>
      <c r="L412" s="135" t="s">
        <v>501</v>
      </c>
    </row>
    <row r="413" spans="1:12" ht="14.55" customHeight="1" x14ac:dyDescent="0.3">
      <c r="A413" s="134">
        <v>28</v>
      </c>
      <c r="B413" s="135" t="s">
        <v>394</v>
      </c>
      <c r="C413" s="135" t="s">
        <v>395</v>
      </c>
      <c r="D413" s="135" t="s">
        <v>396</v>
      </c>
      <c r="E413" s="296" t="s">
        <v>361</v>
      </c>
      <c r="F413" s="137" t="s">
        <v>361</v>
      </c>
      <c r="G413" s="320">
        <v>0.05</v>
      </c>
      <c r="H413" s="184">
        <v>2.5000000000000001E-2</v>
      </c>
      <c r="I413" s="138"/>
      <c r="J413" s="175" t="s">
        <v>362</v>
      </c>
      <c r="K413" s="175"/>
      <c r="L413" s="135" t="s">
        <v>501</v>
      </c>
    </row>
    <row r="414" spans="1:12" ht="28.8" x14ac:dyDescent="0.3">
      <c r="A414" s="134">
        <v>28</v>
      </c>
      <c r="B414" s="135" t="s">
        <v>394</v>
      </c>
      <c r="C414" s="135" t="s">
        <v>395</v>
      </c>
      <c r="D414" s="135" t="s">
        <v>396</v>
      </c>
      <c r="E414" s="296"/>
      <c r="F414" s="137" t="s">
        <v>361</v>
      </c>
      <c r="G414" s="320"/>
      <c r="H414" s="184">
        <v>2.5000000000000001E-2</v>
      </c>
      <c r="I414" s="138" t="s">
        <v>224</v>
      </c>
      <c r="J414" s="175" t="s">
        <v>363</v>
      </c>
      <c r="K414" s="175"/>
      <c r="L414" s="135" t="s">
        <v>501</v>
      </c>
    </row>
    <row r="415" spans="1:12" ht="43.2" x14ac:dyDescent="0.3">
      <c r="A415" s="134">
        <v>28</v>
      </c>
      <c r="B415" s="135" t="s">
        <v>394</v>
      </c>
      <c r="C415" s="135" t="s">
        <v>395</v>
      </c>
      <c r="D415" s="135" t="s">
        <v>396</v>
      </c>
      <c r="E415" s="136" t="s">
        <v>400</v>
      </c>
      <c r="F415" s="136" t="s">
        <v>401</v>
      </c>
      <c r="G415" s="184">
        <v>0.15</v>
      </c>
      <c r="H415" s="184">
        <v>0.15</v>
      </c>
      <c r="I415" s="138"/>
      <c r="J415" s="175" t="s">
        <v>400</v>
      </c>
      <c r="K415" s="175"/>
      <c r="L415" s="135" t="s">
        <v>501</v>
      </c>
    </row>
    <row r="416" spans="1:12" ht="43.2" x14ac:dyDescent="0.3">
      <c r="A416" s="134">
        <v>28</v>
      </c>
      <c r="B416" s="135" t="s">
        <v>394</v>
      </c>
      <c r="C416" s="135" t="s">
        <v>395</v>
      </c>
      <c r="D416" s="135" t="s">
        <v>396</v>
      </c>
      <c r="E416" s="136" t="s">
        <v>402</v>
      </c>
      <c r="F416" s="136" t="s">
        <v>403</v>
      </c>
      <c r="G416" s="184">
        <v>0.1</v>
      </c>
      <c r="H416" s="184">
        <v>0.1</v>
      </c>
      <c r="I416" s="138"/>
      <c r="J416" s="175" t="s">
        <v>402</v>
      </c>
      <c r="K416" s="175"/>
      <c r="L416" s="135" t="s">
        <v>501</v>
      </c>
    </row>
    <row r="417" spans="1:12" ht="43.2" x14ac:dyDescent="0.3">
      <c r="A417" s="134">
        <v>28</v>
      </c>
      <c r="B417" s="135" t="s">
        <v>394</v>
      </c>
      <c r="C417" s="135" t="s">
        <v>395</v>
      </c>
      <c r="D417" s="135" t="s">
        <v>396</v>
      </c>
      <c r="E417" s="136" t="s">
        <v>404</v>
      </c>
      <c r="F417" s="136" t="s">
        <v>405</v>
      </c>
      <c r="G417" s="184">
        <v>0.15</v>
      </c>
      <c r="H417" s="184">
        <v>0.15</v>
      </c>
      <c r="I417" s="138"/>
      <c r="J417" s="175" t="s">
        <v>404</v>
      </c>
      <c r="K417" s="175"/>
      <c r="L417" s="135" t="s">
        <v>501</v>
      </c>
    </row>
    <row r="418" spans="1:12" ht="43.2" x14ac:dyDescent="0.3">
      <c r="A418" s="134">
        <v>28</v>
      </c>
      <c r="B418" s="135" t="s">
        <v>394</v>
      </c>
      <c r="C418" s="135" t="s">
        <v>395</v>
      </c>
      <c r="D418" s="135" t="s">
        <v>396</v>
      </c>
      <c r="E418" s="136" t="s">
        <v>406</v>
      </c>
      <c r="F418" s="136" t="s">
        <v>407</v>
      </c>
      <c r="G418" s="184">
        <v>0.1</v>
      </c>
      <c r="H418" s="184">
        <v>0.1</v>
      </c>
      <c r="I418" s="138"/>
      <c r="J418" s="175" t="s">
        <v>406</v>
      </c>
      <c r="K418" s="175"/>
      <c r="L418" s="135" t="s">
        <v>501</v>
      </c>
    </row>
    <row r="419" spans="1:12" ht="14.55" customHeight="1" x14ac:dyDescent="0.3">
      <c r="A419" s="143">
        <v>29</v>
      </c>
      <c r="B419" s="144" t="s">
        <v>408</v>
      </c>
      <c r="C419" s="144" t="s">
        <v>409</v>
      </c>
      <c r="D419" s="144" t="s">
        <v>410</v>
      </c>
      <c r="E419" s="304" t="s">
        <v>375</v>
      </c>
      <c r="F419" s="161" t="s">
        <v>375</v>
      </c>
      <c r="G419" s="323">
        <v>0.05</v>
      </c>
      <c r="H419" s="191">
        <v>2.5000000000000001E-2</v>
      </c>
      <c r="I419" s="147" t="s">
        <v>376</v>
      </c>
      <c r="J419" s="170" t="s">
        <v>377</v>
      </c>
      <c r="K419" s="170"/>
      <c r="L419" s="144" t="s">
        <v>501</v>
      </c>
    </row>
    <row r="420" spans="1:12" ht="28.8" x14ac:dyDescent="0.3">
      <c r="A420" s="143">
        <v>29</v>
      </c>
      <c r="B420" s="144" t="s">
        <v>408</v>
      </c>
      <c r="C420" s="144" t="s">
        <v>409</v>
      </c>
      <c r="D420" s="144" t="s">
        <v>410</v>
      </c>
      <c r="E420" s="304"/>
      <c r="F420" s="161" t="s">
        <v>375</v>
      </c>
      <c r="G420" s="323"/>
      <c r="H420" s="191">
        <v>2.5000000000000001E-2</v>
      </c>
      <c r="I420" s="169"/>
      <c r="J420" s="192" t="s">
        <v>378</v>
      </c>
      <c r="K420" s="192"/>
      <c r="L420" s="144" t="s">
        <v>501</v>
      </c>
    </row>
    <row r="421" spans="1:12" ht="14.55" customHeight="1" x14ac:dyDescent="0.3">
      <c r="A421" s="143">
        <v>29</v>
      </c>
      <c r="B421" s="144" t="s">
        <v>408</v>
      </c>
      <c r="C421" s="144" t="s">
        <v>409</v>
      </c>
      <c r="D421" s="144" t="s">
        <v>410</v>
      </c>
      <c r="E421" s="300" t="s">
        <v>382</v>
      </c>
      <c r="F421" s="146" t="s">
        <v>382</v>
      </c>
      <c r="G421" s="323">
        <v>0.1</v>
      </c>
      <c r="H421" s="191">
        <v>0.05</v>
      </c>
      <c r="I421" s="147">
        <v>1</v>
      </c>
      <c r="J421" s="172" t="s">
        <v>383</v>
      </c>
      <c r="K421" s="172"/>
      <c r="L421" s="144" t="s">
        <v>501</v>
      </c>
    </row>
    <row r="422" spans="1:12" ht="43.2" x14ac:dyDescent="0.3">
      <c r="A422" s="143">
        <v>29</v>
      </c>
      <c r="B422" s="144" t="s">
        <v>408</v>
      </c>
      <c r="C422" s="144" t="s">
        <v>409</v>
      </c>
      <c r="D422" s="144" t="s">
        <v>410</v>
      </c>
      <c r="E422" s="300"/>
      <c r="F422" s="146" t="s">
        <v>382</v>
      </c>
      <c r="G422" s="323"/>
      <c r="H422" s="191">
        <v>0.05</v>
      </c>
      <c r="I422" s="147">
        <v>0.3</v>
      </c>
      <c r="J422" s="172" t="s">
        <v>384</v>
      </c>
      <c r="K422" s="172"/>
      <c r="L422" s="144" t="s">
        <v>501</v>
      </c>
    </row>
    <row r="423" spans="1:12" x14ac:dyDescent="0.3">
      <c r="A423" s="143">
        <v>29</v>
      </c>
      <c r="B423" s="144" t="s">
        <v>408</v>
      </c>
      <c r="C423" s="144" t="s">
        <v>409</v>
      </c>
      <c r="D423" s="144" t="s">
        <v>410</v>
      </c>
      <c r="E423" s="145" t="s">
        <v>126</v>
      </c>
      <c r="F423" s="145" t="s">
        <v>126</v>
      </c>
      <c r="G423" s="190">
        <v>2.5000000000000001E-2</v>
      </c>
      <c r="H423" s="191">
        <v>2.5000000000000001E-2</v>
      </c>
      <c r="I423" s="147">
        <v>1</v>
      </c>
      <c r="J423" s="193" t="s">
        <v>385</v>
      </c>
      <c r="K423" s="193"/>
      <c r="L423" s="144" t="s">
        <v>501</v>
      </c>
    </row>
    <row r="424" spans="1:12" ht="14.55" customHeight="1" x14ac:dyDescent="0.3">
      <c r="A424" s="143">
        <v>29</v>
      </c>
      <c r="B424" s="144" t="s">
        <v>408</v>
      </c>
      <c r="C424" s="144" t="s">
        <v>409</v>
      </c>
      <c r="D424" s="144" t="s">
        <v>410</v>
      </c>
      <c r="E424" s="300" t="s">
        <v>358</v>
      </c>
      <c r="F424" s="146" t="s">
        <v>358</v>
      </c>
      <c r="G424" s="323">
        <v>0.35</v>
      </c>
      <c r="H424" s="191">
        <v>0.2</v>
      </c>
      <c r="I424" s="147" t="s">
        <v>359</v>
      </c>
      <c r="J424" s="170" t="s">
        <v>360</v>
      </c>
      <c r="K424" s="170"/>
      <c r="L424" s="144" t="s">
        <v>501</v>
      </c>
    </row>
    <row r="425" spans="1:12" ht="28.8" x14ac:dyDescent="0.3">
      <c r="A425" s="143">
        <v>29</v>
      </c>
      <c r="B425" s="144" t="s">
        <v>408</v>
      </c>
      <c r="C425" s="144" t="s">
        <v>409</v>
      </c>
      <c r="D425" s="144" t="s">
        <v>410</v>
      </c>
      <c r="E425" s="300"/>
      <c r="F425" s="146" t="s">
        <v>358</v>
      </c>
      <c r="G425" s="323"/>
      <c r="H425" s="191">
        <v>0.1</v>
      </c>
      <c r="I425" s="147"/>
      <c r="J425" s="170" t="s">
        <v>386</v>
      </c>
      <c r="K425" s="170"/>
      <c r="L425" s="144" t="s">
        <v>501</v>
      </c>
    </row>
    <row r="426" spans="1:12" ht="28.8" x14ac:dyDescent="0.3">
      <c r="A426" s="143">
        <v>29</v>
      </c>
      <c r="B426" s="144" t="s">
        <v>408</v>
      </c>
      <c r="C426" s="144" t="s">
        <v>409</v>
      </c>
      <c r="D426" s="144" t="s">
        <v>410</v>
      </c>
      <c r="E426" s="300"/>
      <c r="F426" s="146" t="s">
        <v>358</v>
      </c>
      <c r="G426" s="323"/>
      <c r="H426" s="191">
        <v>0.05</v>
      </c>
      <c r="I426" s="147">
        <v>1</v>
      </c>
      <c r="J426" s="172" t="s">
        <v>388</v>
      </c>
      <c r="K426" s="172"/>
      <c r="L426" s="144" t="s">
        <v>501</v>
      </c>
    </row>
    <row r="427" spans="1:12" ht="14.55" customHeight="1" x14ac:dyDescent="0.3">
      <c r="A427" s="143">
        <v>29</v>
      </c>
      <c r="B427" s="144" t="s">
        <v>408</v>
      </c>
      <c r="C427" s="144" t="s">
        <v>409</v>
      </c>
      <c r="D427" s="144" t="s">
        <v>410</v>
      </c>
      <c r="E427" s="300" t="s">
        <v>361</v>
      </c>
      <c r="F427" s="146" t="s">
        <v>361</v>
      </c>
      <c r="G427" s="323">
        <v>0.05</v>
      </c>
      <c r="H427" s="191">
        <v>2.5000000000000001E-2</v>
      </c>
      <c r="I427" s="147"/>
      <c r="J427" s="193" t="s">
        <v>362</v>
      </c>
      <c r="K427" s="193"/>
      <c r="L427" s="144" t="s">
        <v>501</v>
      </c>
    </row>
    <row r="428" spans="1:12" ht="28.8" x14ac:dyDescent="0.3">
      <c r="A428" s="143">
        <v>29</v>
      </c>
      <c r="B428" s="144" t="s">
        <v>408</v>
      </c>
      <c r="C428" s="144" t="s">
        <v>409</v>
      </c>
      <c r="D428" s="144" t="s">
        <v>410</v>
      </c>
      <c r="E428" s="300"/>
      <c r="F428" s="146" t="s">
        <v>361</v>
      </c>
      <c r="G428" s="323"/>
      <c r="H428" s="191">
        <v>2.5000000000000001E-2</v>
      </c>
      <c r="I428" s="147" t="s">
        <v>224</v>
      </c>
      <c r="J428" s="193" t="s">
        <v>363</v>
      </c>
      <c r="K428" s="193"/>
      <c r="L428" s="144" t="s">
        <v>501</v>
      </c>
    </row>
    <row r="429" spans="1:12" ht="57.6" x14ac:dyDescent="0.3">
      <c r="A429" s="143">
        <v>29</v>
      </c>
      <c r="B429" s="144" t="s">
        <v>408</v>
      </c>
      <c r="C429" s="144" t="s">
        <v>409</v>
      </c>
      <c r="D429" s="144" t="s">
        <v>410</v>
      </c>
      <c r="E429" s="145" t="s">
        <v>411</v>
      </c>
      <c r="F429" s="145" t="s">
        <v>411</v>
      </c>
      <c r="G429" s="194">
        <v>0.1</v>
      </c>
      <c r="H429" s="195">
        <v>0.1</v>
      </c>
      <c r="I429" s="179"/>
      <c r="J429" s="193" t="s">
        <v>411</v>
      </c>
      <c r="K429" s="193"/>
      <c r="L429" s="144" t="s">
        <v>501</v>
      </c>
    </row>
    <row r="430" spans="1:12" ht="72" x14ac:dyDescent="0.3">
      <c r="A430" s="143">
        <v>29</v>
      </c>
      <c r="B430" s="144" t="s">
        <v>408</v>
      </c>
      <c r="C430" s="144" t="s">
        <v>409</v>
      </c>
      <c r="D430" s="144" t="s">
        <v>410</v>
      </c>
      <c r="E430" s="145" t="s">
        <v>412</v>
      </c>
      <c r="F430" s="145" t="s">
        <v>412</v>
      </c>
      <c r="G430" s="195">
        <v>0.05</v>
      </c>
      <c r="H430" s="195">
        <v>0.05</v>
      </c>
      <c r="I430" s="179"/>
      <c r="J430" s="193" t="s">
        <v>412</v>
      </c>
      <c r="K430" s="193"/>
      <c r="L430" s="144" t="s">
        <v>501</v>
      </c>
    </row>
    <row r="431" spans="1:12" ht="43.2" x14ac:dyDescent="0.3">
      <c r="A431" s="143">
        <v>29</v>
      </c>
      <c r="B431" s="144" t="s">
        <v>408</v>
      </c>
      <c r="C431" s="144" t="s">
        <v>409</v>
      </c>
      <c r="D431" s="144" t="s">
        <v>410</v>
      </c>
      <c r="E431" s="145" t="s">
        <v>413</v>
      </c>
      <c r="F431" s="145" t="s">
        <v>413</v>
      </c>
      <c r="G431" s="195">
        <v>0.05</v>
      </c>
      <c r="H431" s="195">
        <v>0.05</v>
      </c>
      <c r="I431" s="179"/>
      <c r="J431" s="193" t="s">
        <v>413</v>
      </c>
      <c r="K431" s="193"/>
      <c r="L431" s="144" t="s">
        <v>501</v>
      </c>
    </row>
    <row r="432" spans="1:12" ht="28.8" x14ac:dyDescent="0.3">
      <c r="A432" s="143">
        <v>29</v>
      </c>
      <c r="B432" s="144" t="s">
        <v>408</v>
      </c>
      <c r="C432" s="144" t="s">
        <v>409</v>
      </c>
      <c r="D432" s="144" t="s">
        <v>410</v>
      </c>
      <c r="E432" s="145" t="s">
        <v>414</v>
      </c>
      <c r="F432" s="145" t="s">
        <v>414</v>
      </c>
      <c r="G432" s="195">
        <v>0.05</v>
      </c>
      <c r="H432" s="195">
        <v>0.05</v>
      </c>
      <c r="I432" s="179"/>
      <c r="J432" s="193" t="s">
        <v>414</v>
      </c>
      <c r="K432" s="193"/>
      <c r="L432" s="144" t="s">
        <v>501</v>
      </c>
    </row>
    <row r="433" spans="1:12" ht="43.2" x14ac:dyDescent="0.3">
      <c r="A433" s="143">
        <v>29</v>
      </c>
      <c r="B433" s="144" t="s">
        <v>408</v>
      </c>
      <c r="C433" s="144" t="s">
        <v>409</v>
      </c>
      <c r="D433" s="144" t="s">
        <v>410</v>
      </c>
      <c r="E433" s="145" t="s">
        <v>415</v>
      </c>
      <c r="F433" s="145" t="s">
        <v>415</v>
      </c>
      <c r="G433" s="195">
        <v>0.05</v>
      </c>
      <c r="H433" s="195">
        <v>0.05</v>
      </c>
      <c r="I433" s="179"/>
      <c r="J433" s="193" t="s">
        <v>415</v>
      </c>
      <c r="K433" s="193"/>
      <c r="L433" s="144" t="s">
        <v>501</v>
      </c>
    </row>
    <row r="434" spans="1:12" ht="28.8" x14ac:dyDescent="0.3">
      <c r="A434" s="143">
        <v>29</v>
      </c>
      <c r="B434" s="144" t="s">
        <v>408</v>
      </c>
      <c r="C434" s="144" t="s">
        <v>409</v>
      </c>
      <c r="D434" s="144" t="s">
        <v>410</v>
      </c>
      <c r="E434" s="145" t="s">
        <v>416</v>
      </c>
      <c r="F434" s="145" t="s">
        <v>416</v>
      </c>
      <c r="G434" s="195">
        <v>0.05</v>
      </c>
      <c r="H434" s="195">
        <v>0.05</v>
      </c>
      <c r="I434" s="179"/>
      <c r="J434" s="193" t="s">
        <v>416</v>
      </c>
      <c r="K434" s="193"/>
      <c r="L434" s="144" t="s">
        <v>501</v>
      </c>
    </row>
    <row r="435" spans="1:12" x14ac:dyDescent="0.3">
      <c r="A435" s="143">
        <v>29</v>
      </c>
      <c r="B435" s="144" t="s">
        <v>408</v>
      </c>
      <c r="C435" s="144" t="s">
        <v>409</v>
      </c>
      <c r="D435" s="144" t="s">
        <v>410</v>
      </c>
      <c r="E435" s="145" t="s">
        <v>417</v>
      </c>
      <c r="F435" s="145" t="s">
        <v>417</v>
      </c>
      <c r="G435" s="195">
        <v>2.5000000000000001E-2</v>
      </c>
      <c r="H435" s="195">
        <v>2.5000000000000001E-2</v>
      </c>
      <c r="I435" s="179"/>
      <c r="J435" s="193" t="s">
        <v>417</v>
      </c>
      <c r="K435" s="193"/>
      <c r="L435" s="144" t="s">
        <v>501</v>
      </c>
    </row>
    <row r="436" spans="1:12" x14ac:dyDescent="0.3">
      <c r="A436" s="143">
        <v>29</v>
      </c>
      <c r="B436" s="144" t="s">
        <v>408</v>
      </c>
      <c r="C436" s="144" t="s">
        <v>409</v>
      </c>
      <c r="D436" s="144" t="s">
        <v>410</v>
      </c>
      <c r="E436" s="145" t="s">
        <v>418</v>
      </c>
      <c r="F436" s="145" t="s">
        <v>418</v>
      </c>
      <c r="G436" s="195">
        <v>0.05</v>
      </c>
      <c r="H436" s="195">
        <v>0.05</v>
      </c>
      <c r="I436" s="179"/>
      <c r="J436" s="193" t="s">
        <v>418</v>
      </c>
      <c r="K436" s="193"/>
      <c r="L436" s="144" t="s">
        <v>501</v>
      </c>
    </row>
    <row r="437" spans="1:12" ht="14.55" customHeight="1" x14ac:dyDescent="0.3">
      <c r="A437" s="134">
        <v>30</v>
      </c>
      <c r="B437" s="135" t="s">
        <v>419</v>
      </c>
      <c r="C437" s="135" t="s">
        <v>420</v>
      </c>
      <c r="D437" s="135" t="s">
        <v>421</v>
      </c>
      <c r="E437" s="296" t="s">
        <v>353</v>
      </c>
      <c r="F437" s="137" t="s">
        <v>353</v>
      </c>
      <c r="G437" s="321">
        <v>0.2</v>
      </c>
      <c r="H437" s="184">
        <v>0.1</v>
      </c>
      <c r="I437" s="164">
        <v>0</v>
      </c>
      <c r="J437" s="167" t="s">
        <v>422</v>
      </c>
      <c r="K437" s="167"/>
      <c r="L437" s="135" t="s">
        <v>501</v>
      </c>
    </row>
    <row r="438" spans="1:12" ht="28.8" x14ac:dyDescent="0.3">
      <c r="A438" s="134">
        <v>30</v>
      </c>
      <c r="B438" s="135" t="s">
        <v>419</v>
      </c>
      <c r="C438" s="135" t="s">
        <v>420</v>
      </c>
      <c r="D438" s="135" t="s">
        <v>421</v>
      </c>
      <c r="E438" s="296"/>
      <c r="F438" s="137" t="s">
        <v>353</v>
      </c>
      <c r="G438" s="321"/>
      <c r="H438" s="184">
        <v>0.1</v>
      </c>
      <c r="I438" s="138">
        <v>1</v>
      </c>
      <c r="J438" s="135" t="s">
        <v>423</v>
      </c>
      <c r="K438" s="135"/>
      <c r="L438" s="135" t="s">
        <v>501</v>
      </c>
    </row>
    <row r="439" spans="1:12" ht="14.55" customHeight="1" x14ac:dyDescent="0.3">
      <c r="A439" s="134">
        <v>30</v>
      </c>
      <c r="B439" s="135" t="s">
        <v>419</v>
      </c>
      <c r="C439" s="135" t="s">
        <v>420</v>
      </c>
      <c r="D439" s="135" t="s">
        <v>421</v>
      </c>
      <c r="E439" s="319" t="s">
        <v>424</v>
      </c>
      <c r="F439" s="158" t="s">
        <v>424</v>
      </c>
      <c r="G439" s="321">
        <v>0.2</v>
      </c>
      <c r="H439" s="184">
        <v>0.1</v>
      </c>
      <c r="I439" s="138">
        <v>1</v>
      </c>
      <c r="J439" s="165" t="s">
        <v>425</v>
      </c>
      <c r="K439" s="165"/>
      <c r="L439" s="135" t="s">
        <v>501</v>
      </c>
    </row>
    <row r="440" spans="1:12" ht="57.6" x14ac:dyDescent="0.3">
      <c r="A440" s="134">
        <v>30</v>
      </c>
      <c r="B440" s="135" t="s">
        <v>419</v>
      </c>
      <c r="C440" s="135" t="s">
        <v>420</v>
      </c>
      <c r="D440" s="135" t="s">
        <v>421</v>
      </c>
      <c r="E440" s="319"/>
      <c r="F440" s="158" t="s">
        <v>424</v>
      </c>
      <c r="G440" s="321"/>
      <c r="H440" s="184">
        <v>0.1</v>
      </c>
      <c r="I440" s="138">
        <v>1</v>
      </c>
      <c r="J440" s="165" t="s">
        <v>426</v>
      </c>
      <c r="K440" s="165"/>
      <c r="L440" s="135" t="s">
        <v>501</v>
      </c>
    </row>
    <row r="441" spans="1:12" ht="28.8" x14ac:dyDescent="0.3">
      <c r="A441" s="134">
        <v>30</v>
      </c>
      <c r="B441" s="135" t="s">
        <v>419</v>
      </c>
      <c r="C441" s="135" t="s">
        <v>420</v>
      </c>
      <c r="D441" s="135" t="s">
        <v>421</v>
      </c>
      <c r="E441" s="158" t="s">
        <v>358</v>
      </c>
      <c r="F441" s="158" t="s">
        <v>358</v>
      </c>
      <c r="G441" s="189">
        <v>0.1</v>
      </c>
      <c r="H441" s="184">
        <v>0.1</v>
      </c>
      <c r="I441" s="138" t="s">
        <v>359</v>
      </c>
      <c r="J441" s="165" t="s">
        <v>360</v>
      </c>
      <c r="K441" s="165"/>
      <c r="L441" s="135" t="s">
        <v>501</v>
      </c>
    </row>
    <row r="442" spans="1:12" ht="14.55" customHeight="1" x14ac:dyDescent="0.3">
      <c r="A442" s="134">
        <v>30</v>
      </c>
      <c r="B442" s="135" t="s">
        <v>419</v>
      </c>
      <c r="C442" s="135" t="s">
        <v>420</v>
      </c>
      <c r="D442" s="135" t="s">
        <v>421</v>
      </c>
      <c r="E442" s="296" t="s">
        <v>361</v>
      </c>
      <c r="F442" s="137" t="s">
        <v>361</v>
      </c>
      <c r="G442" s="321">
        <v>0.05</v>
      </c>
      <c r="H442" s="184">
        <v>2.5000000000000001E-2</v>
      </c>
      <c r="I442" s="138"/>
      <c r="J442" s="175" t="s">
        <v>362</v>
      </c>
      <c r="K442" s="175"/>
      <c r="L442" s="135" t="s">
        <v>501</v>
      </c>
    </row>
    <row r="443" spans="1:12" ht="28.8" x14ac:dyDescent="0.3">
      <c r="A443" s="134">
        <v>30</v>
      </c>
      <c r="B443" s="135" t="s">
        <v>419</v>
      </c>
      <c r="C443" s="135" t="s">
        <v>420</v>
      </c>
      <c r="D443" s="135" t="s">
        <v>421</v>
      </c>
      <c r="E443" s="296"/>
      <c r="F443" s="137" t="s">
        <v>361</v>
      </c>
      <c r="G443" s="321"/>
      <c r="H443" s="184">
        <v>2.5000000000000001E-2</v>
      </c>
      <c r="I443" s="138" t="s">
        <v>224</v>
      </c>
      <c r="J443" s="175" t="s">
        <v>363</v>
      </c>
      <c r="K443" s="175"/>
      <c r="L443" s="135" t="s">
        <v>501</v>
      </c>
    </row>
    <row r="444" spans="1:12" ht="43.2" x14ac:dyDescent="0.3">
      <c r="A444" s="134">
        <v>30</v>
      </c>
      <c r="B444" s="135" t="s">
        <v>419</v>
      </c>
      <c r="C444" s="135" t="s">
        <v>420</v>
      </c>
      <c r="D444" s="135" t="s">
        <v>421</v>
      </c>
      <c r="E444" s="196" t="s">
        <v>427</v>
      </c>
      <c r="F444" s="196" t="s">
        <v>428</v>
      </c>
      <c r="G444" s="184">
        <v>0.15</v>
      </c>
      <c r="H444" s="184">
        <v>0.15</v>
      </c>
      <c r="I444" s="138"/>
      <c r="J444" s="197" t="s">
        <v>427</v>
      </c>
      <c r="K444" s="175"/>
      <c r="L444" s="135" t="s">
        <v>501</v>
      </c>
    </row>
    <row r="445" spans="1:12" ht="86.4" x14ac:dyDescent="0.3">
      <c r="A445" s="134">
        <v>30</v>
      </c>
      <c r="B445" s="135" t="s">
        <v>419</v>
      </c>
      <c r="C445" s="135" t="s">
        <v>420</v>
      </c>
      <c r="D445" s="135" t="s">
        <v>421</v>
      </c>
      <c r="E445" s="136" t="s">
        <v>429</v>
      </c>
      <c r="F445" s="136" t="s">
        <v>430</v>
      </c>
      <c r="G445" s="184">
        <v>0.05</v>
      </c>
      <c r="H445" s="184">
        <v>0.05</v>
      </c>
      <c r="I445" s="138"/>
      <c r="J445" s="175" t="s">
        <v>429</v>
      </c>
      <c r="K445" s="175"/>
      <c r="L445" s="135" t="s">
        <v>501</v>
      </c>
    </row>
    <row r="446" spans="1:12" ht="57.6" x14ac:dyDescent="0.3">
      <c r="A446" s="134">
        <v>30</v>
      </c>
      <c r="B446" s="135" t="s">
        <v>419</v>
      </c>
      <c r="C446" s="135" t="s">
        <v>420</v>
      </c>
      <c r="D446" s="135" t="s">
        <v>421</v>
      </c>
      <c r="E446" s="136" t="s">
        <v>431</v>
      </c>
      <c r="F446" s="136" t="s">
        <v>432</v>
      </c>
      <c r="G446" s="184">
        <v>0.05</v>
      </c>
      <c r="H446" s="184">
        <v>0.05</v>
      </c>
      <c r="I446" s="138"/>
      <c r="J446" s="175" t="s">
        <v>431</v>
      </c>
      <c r="K446" s="175"/>
      <c r="L446" s="135" t="s">
        <v>501</v>
      </c>
    </row>
    <row r="447" spans="1:12" ht="57.6" x14ac:dyDescent="0.3">
      <c r="A447" s="134">
        <v>30</v>
      </c>
      <c r="B447" s="135" t="s">
        <v>419</v>
      </c>
      <c r="C447" s="135" t="s">
        <v>420</v>
      </c>
      <c r="D447" s="135" t="s">
        <v>421</v>
      </c>
      <c r="E447" s="136" t="s">
        <v>433</v>
      </c>
      <c r="F447" s="136" t="s">
        <v>434</v>
      </c>
      <c r="G447" s="184">
        <v>0.05</v>
      </c>
      <c r="H447" s="184">
        <v>0.05</v>
      </c>
      <c r="I447" s="138"/>
      <c r="J447" s="175" t="s">
        <v>433</v>
      </c>
      <c r="K447" s="175"/>
      <c r="L447" s="135" t="s">
        <v>501</v>
      </c>
    </row>
    <row r="448" spans="1:12" ht="100.8" x14ac:dyDescent="0.3">
      <c r="A448" s="134">
        <v>30</v>
      </c>
      <c r="B448" s="135" t="s">
        <v>419</v>
      </c>
      <c r="C448" s="135" t="s">
        <v>420</v>
      </c>
      <c r="D448" s="135" t="s">
        <v>421</v>
      </c>
      <c r="E448" s="136" t="s">
        <v>435</v>
      </c>
      <c r="F448" s="136" t="s">
        <v>436</v>
      </c>
      <c r="G448" s="184">
        <v>0.1</v>
      </c>
      <c r="H448" s="184">
        <v>0.1</v>
      </c>
      <c r="I448" s="138"/>
      <c r="J448" s="175" t="s">
        <v>435</v>
      </c>
      <c r="K448" s="175"/>
      <c r="L448" s="135" t="s">
        <v>501</v>
      </c>
    </row>
    <row r="449" spans="1:12" ht="43.2" x14ac:dyDescent="0.3">
      <c r="A449" s="134">
        <v>30</v>
      </c>
      <c r="B449" s="135" t="s">
        <v>419</v>
      </c>
      <c r="C449" s="135" t="s">
        <v>420</v>
      </c>
      <c r="D449" s="135" t="s">
        <v>421</v>
      </c>
      <c r="E449" s="136" t="s">
        <v>437</v>
      </c>
      <c r="F449" s="136" t="s">
        <v>438</v>
      </c>
      <c r="G449" s="184">
        <v>0.05</v>
      </c>
      <c r="H449" s="184">
        <v>0.05</v>
      </c>
      <c r="I449" s="138"/>
      <c r="J449" s="175" t="s">
        <v>437</v>
      </c>
      <c r="K449" s="175"/>
      <c r="L449" s="135" t="s">
        <v>501</v>
      </c>
    </row>
    <row r="450" spans="1:12" ht="28.8" x14ac:dyDescent="0.3">
      <c r="A450" s="143">
        <v>31</v>
      </c>
      <c r="B450" s="144" t="s">
        <v>439</v>
      </c>
      <c r="C450" s="144" t="s">
        <v>440</v>
      </c>
      <c r="D450" s="144" t="s">
        <v>396</v>
      </c>
      <c r="E450" s="161" t="s">
        <v>358</v>
      </c>
      <c r="F450" s="161" t="s">
        <v>358</v>
      </c>
      <c r="G450" s="190">
        <v>0.1</v>
      </c>
      <c r="H450" s="191">
        <v>0.1</v>
      </c>
      <c r="I450" s="147" t="s">
        <v>359</v>
      </c>
      <c r="J450" s="170" t="s">
        <v>360</v>
      </c>
      <c r="K450" s="170"/>
      <c r="L450" s="144" t="s">
        <v>501</v>
      </c>
    </row>
    <row r="451" spans="1:12" ht="14.55" customHeight="1" x14ac:dyDescent="0.3">
      <c r="A451" s="143">
        <v>31</v>
      </c>
      <c r="B451" s="144" t="s">
        <v>439</v>
      </c>
      <c r="C451" s="144" t="s">
        <v>440</v>
      </c>
      <c r="D451" s="144" t="s">
        <v>396</v>
      </c>
      <c r="E451" s="300" t="s">
        <v>361</v>
      </c>
      <c r="F451" s="146" t="s">
        <v>361</v>
      </c>
      <c r="G451" s="323">
        <v>0.1</v>
      </c>
      <c r="H451" s="191">
        <v>0.05</v>
      </c>
      <c r="I451" s="147"/>
      <c r="J451" s="193" t="s">
        <v>362</v>
      </c>
      <c r="K451" s="193"/>
      <c r="L451" s="144" t="s">
        <v>501</v>
      </c>
    </row>
    <row r="452" spans="1:12" ht="28.8" x14ac:dyDescent="0.3">
      <c r="A452" s="143">
        <v>31</v>
      </c>
      <c r="B452" s="144" t="s">
        <v>439</v>
      </c>
      <c r="C452" s="144" t="s">
        <v>440</v>
      </c>
      <c r="D452" s="144" t="s">
        <v>396</v>
      </c>
      <c r="E452" s="300"/>
      <c r="F452" s="146" t="s">
        <v>361</v>
      </c>
      <c r="G452" s="323"/>
      <c r="H452" s="191">
        <v>0.05</v>
      </c>
      <c r="I452" s="147" t="s">
        <v>224</v>
      </c>
      <c r="J452" s="193" t="s">
        <v>363</v>
      </c>
      <c r="K452" s="193"/>
      <c r="L452" s="144" t="s">
        <v>501</v>
      </c>
    </row>
    <row r="453" spans="1:12" ht="43.2" x14ac:dyDescent="0.3">
      <c r="A453" s="143">
        <v>31</v>
      </c>
      <c r="B453" s="144" t="s">
        <v>439</v>
      </c>
      <c r="C453" s="144" t="s">
        <v>440</v>
      </c>
      <c r="D453" s="144" t="s">
        <v>396</v>
      </c>
      <c r="E453" s="145" t="s">
        <v>441</v>
      </c>
      <c r="F453" s="145" t="s">
        <v>442</v>
      </c>
      <c r="G453" s="191">
        <v>0.2</v>
      </c>
      <c r="H453" s="191">
        <v>0.2</v>
      </c>
      <c r="I453" s="147"/>
      <c r="J453" s="193" t="s">
        <v>441</v>
      </c>
      <c r="K453" s="193"/>
      <c r="L453" s="144" t="s">
        <v>501</v>
      </c>
    </row>
    <row r="454" spans="1:12" ht="43.2" x14ac:dyDescent="0.3">
      <c r="A454" s="143">
        <v>31</v>
      </c>
      <c r="B454" s="144" t="s">
        <v>439</v>
      </c>
      <c r="C454" s="144" t="s">
        <v>440</v>
      </c>
      <c r="D454" s="144" t="s">
        <v>396</v>
      </c>
      <c r="E454" s="145" t="s">
        <v>402</v>
      </c>
      <c r="F454" s="145" t="s">
        <v>403</v>
      </c>
      <c r="G454" s="191">
        <v>0.2</v>
      </c>
      <c r="H454" s="191">
        <v>0.2</v>
      </c>
      <c r="I454" s="147"/>
      <c r="J454" s="193" t="s">
        <v>402</v>
      </c>
      <c r="K454" s="193"/>
      <c r="L454" s="144" t="s">
        <v>501</v>
      </c>
    </row>
    <row r="455" spans="1:12" ht="43.2" x14ac:dyDescent="0.3">
      <c r="A455" s="143">
        <v>31</v>
      </c>
      <c r="B455" s="144" t="s">
        <v>439</v>
      </c>
      <c r="C455" s="144" t="s">
        <v>440</v>
      </c>
      <c r="D455" s="144" t="s">
        <v>396</v>
      </c>
      <c r="E455" s="145" t="s">
        <v>443</v>
      </c>
      <c r="F455" s="145" t="s">
        <v>444</v>
      </c>
      <c r="G455" s="191">
        <v>0.2</v>
      </c>
      <c r="H455" s="191">
        <v>0.2</v>
      </c>
      <c r="I455" s="147"/>
      <c r="J455" s="193" t="s">
        <v>443</v>
      </c>
      <c r="K455" s="193"/>
      <c r="L455" s="144" t="s">
        <v>501</v>
      </c>
    </row>
    <row r="456" spans="1:12" ht="43.2" x14ac:dyDescent="0.3">
      <c r="A456" s="143">
        <v>31</v>
      </c>
      <c r="B456" s="144" t="s">
        <v>439</v>
      </c>
      <c r="C456" s="144" t="s">
        <v>440</v>
      </c>
      <c r="D456" s="144" t="s">
        <v>396</v>
      </c>
      <c r="E456" s="145" t="s">
        <v>445</v>
      </c>
      <c r="F456" s="145" t="s">
        <v>446</v>
      </c>
      <c r="G456" s="191">
        <v>0.2</v>
      </c>
      <c r="H456" s="191">
        <v>0.2</v>
      </c>
      <c r="I456" s="147"/>
      <c r="J456" s="193" t="s">
        <v>445</v>
      </c>
      <c r="K456" s="193"/>
      <c r="L456" s="144" t="s">
        <v>501</v>
      </c>
    </row>
    <row r="457" spans="1:12" x14ac:dyDescent="0.3">
      <c r="A457" s="143">
        <v>32</v>
      </c>
      <c r="B457" s="135" t="s">
        <v>447</v>
      </c>
      <c r="C457" s="135" t="s">
        <v>448</v>
      </c>
      <c r="D457" s="135" t="s">
        <v>352</v>
      </c>
      <c r="E457" s="158" t="s">
        <v>355</v>
      </c>
      <c r="F457" s="158" t="s">
        <v>355</v>
      </c>
      <c r="G457" s="184">
        <v>0.1</v>
      </c>
      <c r="H457" s="184">
        <v>0.1</v>
      </c>
      <c r="I457" s="138" t="s">
        <v>449</v>
      </c>
      <c r="J457" s="167" t="s">
        <v>450</v>
      </c>
      <c r="K457" s="167"/>
      <c r="L457" s="135" t="s">
        <v>501</v>
      </c>
    </row>
    <row r="458" spans="1:12" ht="28.8" x14ac:dyDescent="0.3">
      <c r="A458" s="143">
        <v>32</v>
      </c>
      <c r="B458" s="135" t="s">
        <v>447</v>
      </c>
      <c r="C458" s="135" t="s">
        <v>448</v>
      </c>
      <c r="D458" s="135" t="s">
        <v>352</v>
      </c>
      <c r="E458" s="158" t="s">
        <v>358</v>
      </c>
      <c r="F458" s="158" t="s">
        <v>358</v>
      </c>
      <c r="G458" s="184">
        <v>0.05</v>
      </c>
      <c r="H458" s="184">
        <v>0.05</v>
      </c>
      <c r="I458" s="138" t="s">
        <v>359</v>
      </c>
      <c r="J458" s="165" t="s">
        <v>360</v>
      </c>
      <c r="K458" s="165"/>
      <c r="L458" s="135" t="s">
        <v>501</v>
      </c>
    </row>
    <row r="459" spans="1:12" ht="14.55" customHeight="1" x14ac:dyDescent="0.3">
      <c r="A459" s="143">
        <v>32</v>
      </c>
      <c r="B459" s="135" t="s">
        <v>447</v>
      </c>
      <c r="C459" s="135" t="s">
        <v>448</v>
      </c>
      <c r="D459" s="135" t="s">
        <v>352</v>
      </c>
      <c r="E459" s="296" t="s">
        <v>361</v>
      </c>
      <c r="F459" s="137" t="s">
        <v>361</v>
      </c>
      <c r="G459" s="321">
        <v>0.05</v>
      </c>
      <c r="H459" s="184">
        <v>2.5000000000000001E-2</v>
      </c>
      <c r="I459" s="138"/>
      <c r="J459" s="175" t="s">
        <v>362</v>
      </c>
      <c r="K459" s="175"/>
      <c r="L459" s="135" t="s">
        <v>501</v>
      </c>
    </row>
    <row r="460" spans="1:12" ht="28.8" x14ac:dyDescent="0.3">
      <c r="A460" s="143">
        <v>32</v>
      </c>
      <c r="B460" s="135" t="s">
        <v>447</v>
      </c>
      <c r="C460" s="135" t="s">
        <v>448</v>
      </c>
      <c r="D460" s="135" t="s">
        <v>352</v>
      </c>
      <c r="E460" s="296"/>
      <c r="F460" s="137" t="s">
        <v>361</v>
      </c>
      <c r="G460" s="321"/>
      <c r="H460" s="184">
        <v>2.5000000000000001E-2</v>
      </c>
      <c r="I460" s="138" t="s">
        <v>224</v>
      </c>
      <c r="J460" s="175" t="s">
        <v>363</v>
      </c>
      <c r="K460" s="175"/>
      <c r="L460" s="135" t="s">
        <v>501</v>
      </c>
    </row>
    <row r="461" spans="1:12" ht="43.2" x14ac:dyDescent="0.3">
      <c r="A461" s="143">
        <v>32</v>
      </c>
      <c r="B461" s="135" t="s">
        <v>447</v>
      </c>
      <c r="C461" s="135" t="s">
        <v>448</v>
      </c>
      <c r="D461" s="135" t="s">
        <v>352</v>
      </c>
      <c r="E461" s="136" t="s">
        <v>451</v>
      </c>
      <c r="F461" s="136" t="s">
        <v>451</v>
      </c>
      <c r="G461" s="184">
        <v>0.2</v>
      </c>
      <c r="H461" s="184">
        <v>0.2</v>
      </c>
      <c r="I461" s="138"/>
      <c r="J461" s="175" t="s">
        <v>451</v>
      </c>
      <c r="K461" s="175"/>
      <c r="L461" s="135" t="s">
        <v>501</v>
      </c>
    </row>
    <row r="462" spans="1:12" ht="72" x14ac:dyDescent="0.3">
      <c r="A462" s="143">
        <v>32</v>
      </c>
      <c r="B462" s="135" t="s">
        <v>447</v>
      </c>
      <c r="C462" s="135" t="s">
        <v>448</v>
      </c>
      <c r="D462" s="135" t="s">
        <v>352</v>
      </c>
      <c r="E462" s="136" t="s">
        <v>452</v>
      </c>
      <c r="F462" s="136" t="s">
        <v>452</v>
      </c>
      <c r="G462" s="184">
        <v>0.1</v>
      </c>
      <c r="H462" s="184">
        <v>0.2</v>
      </c>
      <c r="I462" s="138"/>
      <c r="J462" s="175" t="s">
        <v>452</v>
      </c>
      <c r="K462" s="175"/>
      <c r="L462" s="135" t="s">
        <v>501</v>
      </c>
    </row>
    <row r="463" spans="1:12" ht="72" x14ac:dyDescent="0.3">
      <c r="A463" s="143">
        <v>32</v>
      </c>
      <c r="B463" s="135" t="s">
        <v>447</v>
      </c>
      <c r="C463" s="135" t="s">
        <v>448</v>
      </c>
      <c r="D463" s="135" t="s">
        <v>352</v>
      </c>
      <c r="E463" s="136" t="s">
        <v>453</v>
      </c>
      <c r="F463" s="136" t="s">
        <v>453</v>
      </c>
      <c r="G463" s="184">
        <v>0.2</v>
      </c>
      <c r="H463" s="184">
        <v>0.2</v>
      </c>
      <c r="I463" s="138"/>
      <c r="J463" s="175" t="s">
        <v>453</v>
      </c>
      <c r="K463" s="175"/>
      <c r="L463" s="135" t="s">
        <v>501</v>
      </c>
    </row>
    <row r="464" spans="1:12" ht="43.2" x14ac:dyDescent="0.3">
      <c r="A464" s="143">
        <v>32</v>
      </c>
      <c r="B464" s="135" t="s">
        <v>447</v>
      </c>
      <c r="C464" s="135" t="s">
        <v>448</v>
      </c>
      <c r="D464" s="135" t="s">
        <v>352</v>
      </c>
      <c r="E464" s="136" t="s">
        <v>454</v>
      </c>
      <c r="F464" s="136" t="s">
        <v>454</v>
      </c>
      <c r="G464" s="184">
        <v>0.15</v>
      </c>
      <c r="H464" s="184">
        <v>0.2</v>
      </c>
      <c r="I464" s="138"/>
      <c r="J464" s="175" t="s">
        <v>454</v>
      </c>
      <c r="K464" s="175"/>
      <c r="L464" s="175" t="s">
        <v>501</v>
      </c>
    </row>
    <row r="465" spans="1:12" ht="28.8" x14ac:dyDescent="0.3">
      <c r="A465" s="143">
        <v>33</v>
      </c>
      <c r="B465" s="198" t="s">
        <v>455</v>
      </c>
      <c r="C465" s="198" t="s">
        <v>456</v>
      </c>
      <c r="D465" s="144" t="s">
        <v>457</v>
      </c>
      <c r="E465" s="161" t="s">
        <v>358</v>
      </c>
      <c r="F465" s="161" t="s">
        <v>358</v>
      </c>
      <c r="G465" s="195">
        <v>0.1</v>
      </c>
      <c r="H465" s="195">
        <v>0.1</v>
      </c>
      <c r="I465" s="179" t="s">
        <v>359</v>
      </c>
      <c r="J465" s="170" t="s">
        <v>360</v>
      </c>
      <c r="K465" s="170"/>
      <c r="L465" s="144" t="s">
        <v>501</v>
      </c>
    </row>
    <row r="466" spans="1:12" ht="14.55" customHeight="1" x14ac:dyDescent="0.3">
      <c r="A466" s="143">
        <v>33</v>
      </c>
      <c r="B466" s="198" t="s">
        <v>455</v>
      </c>
      <c r="C466" s="198" t="s">
        <v>456</v>
      </c>
      <c r="D466" s="144" t="s">
        <v>457</v>
      </c>
      <c r="E466" s="300" t="s">
        <v>361</v>
      </c>
      <c r="F466" s="146" t="s">
        <v>361</v>
      </c>
      <c r="G466" s="324">
        <v>0.05</v>
      </c>
      <c r="H466" s="195">
        <v>2.5000000000000001E-2</v>
      </c>
      <c r="I466" s="179"/>
      <c r="J466" s="193" t="s">
        <v>362</v>
      </c>
      <c r="K466" s="193"/>
      <c r="L466" s="144" t="s">
        <v>501</v>
      </c>
    </row>
    <row r="467" spans="1:12" ht="28.8" x14ac:dyDescent="0.3">
      <c r="A467" s="143">
        <v>33</v>
      </c>
      <c r="B467" s="198" t="s">
        <v>455</v>
      </c>
      <c r="C467" s="198" t="s">
        <v>456</v>
      </c>
      <c r="D467" s="144" t="s">
        <v>457</v>
      </c>
      <c r="E467" s="300"/>
      <c r="F467" s="146" t="s">
        <v>361</v>
      </c>
      <c r="G467" s="324"/>
      <c r="H467" s="195">
        <v>2.5000000000000001E-2</v>
      </c>
      <c r="I467" s="179" t="s">
        <v>224</v>
      </c>
      <c r="J467" s="193" t="s">
        <v>363</v>
      </c>
      <c r="K467" s="193"/>
      <c r="L467" s="144" t="s">
        <v>501</v>
      </c>
    </row>
    <row r="468" spans="1:12" ht="28.8" x14ac:dyDescent="0.3">
      <c r="A468" s="143">
        <v>33</v>
      </c>
      <c r="B468" s="198" t="s">
        <v>455</v>
      </c>
      <c r="C468" s="198" t="s">
        <v>456</v>
      </c>
      <c r="D468" s="144" t="s">
        <v>457</v>
      </c>
      <c r="E468" s="145" t="s">
        <v>458</v>
      </c>
      <c r="F468" s="145" t="s">
        <v>459</v>
      </c>
      <c r="G468" s="195">
        <v>0.1</v>
      </c>
      <c r="H468" s="195">
        <v>0.1</v>
      </c>
      <c r="I468" s="179"/>
      <c r="J468" s="193" t="s">
        <v>458</v>
      </c>
      <c r="K468" s="193"/>
      <c r="L468" s="144" t="s">
        <v>501</v>
      </c>
    </row>
    <row r="469" spans="1:12" ht="43.2" x14ac:dyDescent="0.3">
      <c r="A469" s="143">
        <v>33</v>
      </c>
      <c r="B469" s="198" t="s">
        <v>455</v>
      </c>
      <c r="C469" s="198" t="s">
        <v>456</v>
      </c>
      <c r="D469" s="144" t="s">
        <v>457</v>
      </c>
      <c r="E469" s="145" t="s">
        <v>460</v>
      </c>
      <c r="F469" s="145" t="s">
        <v>461</v>
      </c>
      <c r="G469" s="195">
        <v>0.1</v>
      </c>
      <c r="H469" s="195">
        <v>0.1</v>
      </c>
      <c r="I469" s="179"/>
      <c r="J469" s="193" t="s">
        <v>460</v>
      </c>
      <c r="K469" s="193"/>
      <c r="L469" s="144" t="s">
        <v>501</v>
      </c>
    </row>
    <row r="470" spans="1:12" ht="43.2" x14ac:dyDescent="0.3">
      <c r="A470" s="143">
        <v>33</v>
      </c>
      <c r="B470" s="198" t="s">
        <v>455</v>
      </c>
      <c r="C470" s="198" t="s">
        <v>456</v>
      </c>
      <c r="D470" s="144" t="s">
        <v>457</v>
      </c>
      <c r="E470" s="145" t="s">
        <v>462</v>
      </c>
      <c r="F470" s="145" t="s">
        <v>463</v>
      </c>
      <c r="G470" s="195">
        <v>0.1</v>
      </c>
      <c r="H470" s="195">
        <v>0.1</v>
      </c>
      <c r="I470" s="179"/>
      <c r="J470" s="193" t="s">
        <v>462</v>
      </c>
      <c r="K470" s="193"/>
      <c r="L470" s="144" t="s">
        <v>501</v>
      </c>
    </row>
    <row r="471" spans="1:12" ht="57.6" x14ac:dyDescent="0.3">
      <c r="A471" s="143">
        <v>33</v>
      </c>
      <c r="B471" s="198" t="s">
        <v>455</v>
      </c>
      <c r="C471" s="198" t="s">
        <v>456</v>
      </c>
      <c r="D471" s="144" t="s">
        <v>457</v>
      </c>
      <c r="E471" s="145" t="s">
        <v>464</v>
      </c>
      <c r="F471" s="145" t="s">
        <v>465</v>
      </c>
      <c r="G471" s="195">
        <v>0.1</v>
      </c>
      <c r="H471" s="195">
        <v>0.1</v>
      </c>
      <c r="I471" s="179"/>
      <c r="J471" s="193" t="s">
        <v>464</v>
      </c>
      <c r="K471" s="193"/>
      <c r="L471" s="144" t="s">
        <v>501</v>
      </c>
    </row>
    <row r="472" spans="1:12" ht="28.8" x14ac:dyDescent="0.3">
      <c r="A472" s="143">
        <v>33</v>
      </c>
      <c r="B472" s="198" t="s">
        <v>455</v>
      </c>
      <c r="C472" s="198" t="s">
        <v>456</v>
      </c>
      <c r="D472" s="144" t="s">
        <v>457</v>
      </c>
      <c r="E472" s="145" t="s">
        <v>466</v>
      </c>
      <c r="F472" s="145" t="s">
        <v>467</v>
      </c>
      <c r="G472" s="195">
        <v>0.05</v>
      </c>
      <c r="H472" s="195">
        <v>0.05</v>
      </c>
      <c r="I472" s="179"/>
      <c r="J472" s="193" t="s">
        <v>466</v>
      </c>
      <c r="K472" s="193"/>
      <c r="L472" s="144" t="s">
        <v>501</v>
      </c>
    </row>
    <row r="473" spans="1:12" ht="72" x14ac:dyDescent="0.3">
      <c r="A473" s="143">
        <v>33</v>
      </c>
      <c r="B473" s="198" t="s">
        <v>455</v>
      </c>
      <c r="C473" s="198" t="s">
        <v>456</v>
      </c>
      <c r="D473" s="144" t="s">
        <v>457</v>
      </c>
      <c r="E473" s="145" t="s">
        <v>468</v>
      </c>
      <c r="F473" s="145" t="s">
        <v>469</v>
      </c>
      <c r="G473" s="195">
        <v>0.1</v>
      </c>
      <c r="H473" s="195">
        <v>0.1</v>
      </c>
      <c r="I473" s="179"/>
      <c r="J473" s="193" t="s">
        <v>468</v>
      </c>
      <c r="K473" s="193"/>
      <c r="L473" s="144" t="s">
        <v>501</v>
      </c>
    </row>
    <row r="474" spans="1:12" ht="43.2" x14ac:dyDescent="0.3">
      <c r="A474" s="143">
        <v>33</v>
      </c>
      <c r="B474" s="198" t="s">
        <v>455</v>
      </c>
      <c r="C474" s="198" t="s">
        <v>456</v>
      </c>
      <c r="D474" s="144" t="s">
        <v>457</v>
      </c>
      <c r="E474" s="145" t="s">
        <v>470</v>
      </c>
      <c r="F474" s="145" t="s">
        <v>471</v>
      </c>
      <c r="G474" s="195">
        <v>0.1</v>
      </c>
      <c r="H474" s="195">
        <v>0.1</v>
      </c>
      <c r="I474" s="179"/>
      <c r="J474" s="193" t="s">
        <v>470</v>
      </c>
      <c r="K474" s="193"/>
      <c r="L474" s="144" t="s">
        <v>501</v>
      </c>
    </row>
    <row r="475" spans="1:12" ht="28.8" x14ac:dyDescent="0.3">
      <c r="A475" s="143">
        <v>33</v>
      </c>
      <c r="B475" s="198" t="s">
        <v>455</v>
      </c>
      <c r="C475" s="198" t="s">
        <v>456</v>
      </c>
      <c r="D475" s="144" t="s">
        <v>457</v>
      </c>
      <c r="E475" s="145" t="s">
        <v>472</v>
      </c>
      <c r="F475" s="145" t="s">
        <v>473</v>
      </c>
      <c r="G475" s="195">
        <v>0.1</v>
      </c>
      <c r="H475" s="195">
        <v>0.1</v>
      </c>
      <c r="I475" s="179"/>
      <c r="J475" s="193" t="s">
        <v>472</v>
      </c>
      <c r="K475" s="193"/>
      <c r="L475" s="144" t="s">
        <v>501</v>
      </c>
    </row>
    <row r="476" spans="1:12" ht="28.8" x14ac:dyDescent="0.3">
      <c r="A476" s="143">
        <v>33</v>
      </c>
      <c r="B476" s="198" t="s">
        <v>455</v>
      </c>
      <c r="C476" s="198" t="s">
        <v>456</v>
      </c>
      <c r="D476" s="144" t="s">
        <v>457</v>
      </c>
      <c r="E476" s="145" t="s">
        <v>474</v>
      </c>
      <c r="F476" s="145" t="s">
        <v>475</v>
      </c>
      <c r="G476" s="195">
        <v>0.1</v>
      </c>
      <c r="H476" s="195">
        <v>0.1</v>
      </c>
      <c r="I476" s="179"/>
      <c r="J476" s="193" t="s">
        <v>474</v>
      </c>
      <c r="K476" s="193"/>
      <c r="L476" s="144" t="s">
        <v>501</v>
      </c>
    </row>
    <row r="477" spans="1:12" ht="14.55" customHeight="1" x14ac:dyDescent="0.3">
      <c r="A477" s="134">
        <v>34</v>
      </c>
      <c r="B477" s="135" t="s">
        <v>476</v>
      </c>
      <c r="C477" s="135" t="s">
        <v>477</v>
      </c>
      <c r="D477" s="135" t="s">
        <v>478</v>
      </c>
      <c r="E477" s="296" t="s">
        <v>353</v>
      </c>
      <c r="F477" s="137" t="s">
        <v>353</v>
      </c>
      <c r="G477" s="321">
        <v>0.15</v>
      </c>
      <c r="H477" s="184">
        <v>0.1</v>
      </c>
      <c r="I477" s="164">
        <v>0</v>
      </c>
      <c r="J477" s="167" t="s">
        <v>422</v>
      </c>
      <c r="K477" s="167"/>
      <c r="L477" s="135" t="s">
        <v>501</v>
      </c>
    </row>
    <row r="478" spans="1:12" ht="28.8" x14ac:dyDescent="0.3">
      <c r="A478" s="134">
        <v>34</v>
      </c>
      <c r="B478" s="135" t="s">
        <v>476</v>
      </c>
      <c r="C478" s="135" t="s">
        <v>477</v>
      </c>
      <c r="D478" s="135" t="s">
        <v>478</v>
      </c>
      <c r="E478" s="296"/>
      <c r="F478" s="137" t="s">
        <v>353</v>
      </c>
      <c r="G478" s="321"/>
      <c r="H478" s="184">
        <v>0.05</v>
      </c>
      <c r="I478" s="138">
        <v>1</v>
      </c>
      <c r="J478" s="135" t="s">
        <v>423</v>
      </c>
      <c r="K478" s="135"/>
      <c r="L478" s="135" t="s">
        <v>501</v>
      </c>
    </row>
    <row r="479" spans="1:12" ht="14.55" customHeight="1" x14ac:dyDescent="0.3">
      <c r="A479" s="134">
        <v>34</v>
      </c>
      <c r="B479" s="135" t="s">
        <v>476</v>
      </c>
      <c r="C479" s="135" t="s">
        <v>477</v>
      </c>
      <c r="D479" s="135" t="s">
        <v>478</v>
      </c>
      <c r="E479" s="319" t="s">
        <v>424</v>
      </c>
      <c r="F479" s="158" t="s">
        <v>424</v>
      </c>
      <c r="G479" s="321">
        <v>0.2</v>
      </c>
      <c r="H479" s="184">
        <v>0.1</v>
      </c>
      <c r="I479" s="138">
        <v>1</v>
      </c>
      <c r="J479" s="165" t="s">
        <v>425</v>
      </c>
      <c r="K479" s="165"/>
      <c r="L479" s="135" t="s">
        <v>501</v>
      </c>
    </row>
    <row r="480" spans="1:12" ht="57.6" x14ac:dyDescent="0.3">
      <c r="A480" s="134">
        <v>34</v>
      </c>
      <c r="B480" s="135" t="s">
        <v>476</v>
      </c>
      <c r="C480" s="135" t="s">
        <v>477</v>
      </c>
      <c r="D480" s="135" t="s">
        <v>478</v>
      </c>
      <c r="E480" s="319"/>
      <c r="F480" s="158" t="s">
        <v>424</v>
      </c>
      <c r="G480" s="321"/>
      <c r="H480" s="184">
        <v>0.1</v>
      </c>
      <c r="I480" s="138">
        <v>1</v>
      </c>
      <c r="J480" s="165" t="s">
        <v>426</v>
      </c>
      <c r="K480" s="165"/>
      <c r="L480" s="135" t="s">
        <v>501</v>
      </c>
    </row>
    <row r="481" spans="1:12" ht="28.8" x14ac:dyDescent="0.3">
      <c r="A481" s="134">
        <v>34</v>
      </c>
      <c r="B481" s="135" t="s">
        <v>476</v>
      </c>
      <c r="C481" s="135" t="s">
        <v>477</v>
      </c>
      <c r="D481" s="135" t="s">
        <v>478</v>
      </c>
      <c r="E481" s="158" t="s">
        <v>358</v>
      </c>
      <c r="F481" s="158" t="s">
        <v>358</v>
      </c>
      <c r="G481" s="189">
        <v>0.1</v>
      </c>
      <c r="H481" s="184">
        <v>0.1</v>
      </c>
      <c r="I481" s="138" t="s">
        <v>359</v>
      </c>
      <c r="J481" s="165" t="s">
        <v>360</v>
      </c>
      <c r="K481" s="165"/>
      <c r="L481" s="135" t="s">
        <v>501</v>
      </c>
    </row>
    <row r="482" spans="1:12" ht="14.55" customHeight="1" x14ac:dyDescent="0.3">
      <c r="A482" s="134">
        <v>34</v>
      </c>
      <c r="B482" s="135" t="s">
        <v>476</v>
      </c>
      <c r="C482" s="135" t="s">
        <v>477</v>
      </c>
      <c r="D482" s="135" t="s">
        <v>478</v>
      </c>
      <c r="E482" s="296" t="s">
        <v>361</v>
      </c>
      <c r="F482" s="137" t="s">
        <v>361</v>
      </c>
      <c r="G482" s="321">
        <v>0.05</v>
      </c>
      <c r="H482" s="184">
        <v>2.5000000000000001E-2</v>
      </c>
      <c r="I482" s="138"/>
      <c r="J482" s="175" t="s">
        <v>362</v>
      </c>
      <c r="K482" s="175"/>
      <c r="L482" s="135" t="s">
        <v>501</v>
      </c>
    </row>
    <row r="483" spans="1:12" ht="28.8" x14ac:dyDescent="0.3">
      <c r="A483" s="134">
        <v>34</v>
      </c>
      <c r="B483" s="135" t="s">
        <v>476</v>
      </c>
      <c r="C483" s="135" t="s">
        <v>477</v>
      </c>
      <c r="D483" s="135" t="s">
        <v>478</v>
      </c>
      <c r="E483" s="296"/>
      <c r="F483" s="137" t="s">
        <v>361</v>
      </c>
      <c r="G483" s="321"/>
      <c r="H483" s="184">
        <v>2.5000000000000001E-2</v>
      </c>
      <c r="I483" s="138" t="s">
        <v>224</v>
      </c>
      <c r="J483" s="175" t="s">
        <v>363</v>
      </c>
      <c r="K483" s="175"/>
      <c r="L483" s="135" t="s">
        <v>501</v>
      </c>
    </row>
    <row r="484" spans="1:12" ht="43.2" x14ac:dyDescent="0.3">
      <c r="A484" s="134">
        <v>34</v>
      </c>
      <c r="B484" s="135" t="s">
        <v>476</v>
      </c>
      <c r="C484" s="135" t="s">
        <v>477</v>
      </c>
      <c r="D484" s="135" t="s">
        <v>478</v>
      </c>
      <c r="E484" s="136" t="s">
        <v>479</v>
      </c>
      <c r="F484" s="136" t="s">
        <v>479</v>
      </c>
      <c r="G484" s="184">
        <v>0.15</v>
      </c>
      <c r="H484" s="184">
        <v>0.15</v>
      </c>
      <c r="I484" s="138"/>
      <c r="J484" s="175" t="s">
        <v>479</v>
      </c>
      <c r="K484" s="175"/>
      <c r="L484" s="135" t="s">
        <v>501</v>
      </c>
    </row>
    <row r="485" spans="1:12" ht="43.2" x14ac:dyDescent="0.3">
      <c r="A485" s="134">
        <v>34</v>
      </c>
      <c r="B485" s="135" t="s">
        <v>476</v>
      </c>
      <c r="C485" s="135" t="s">
        <v>477</v>
      </c>
      <c r="D485" s="135" t="s">
        <v>478</v>
      </c>
      <c r="E485" s="136" t="s">
        <v>480</v>
      </c>
      <c r="F485" s="136" t="s">
        <v>480</v>
      </c>
      <c r="G485" s="184">
        <v>0.15</v>
      </c>
      <c r="H485" s="184">
        <v>0.15</v>
      </c>
      <c r="I485" s="138"/>
      <c r="J485" s="175" t="s">
        <v>480</v>
      </c>
      <c r="K485" s="175"/>
      <c r="L485" s="135" t="s">
        <v>501</v>
      </c>
    </row>
    <row r="486" spans="1:12" ht="43.2" x14ac:dyDescent="0.3">
      <c r="A486" s="134">
        <v>34</v>
      </c>
      <c r="B486" s="135" t="s">
        <v>476</v>
      </c>
      <c r="C486" s="135" t="s">
        <v>477</v>
      </c>
      <c r="D486" s="135" t="s">
        <v>478</v>
      </c>
      <c r="E486" s="136" t="s">
        <v>481</v>
      </c>
      <c r="F486" s="136" t="s">
        <v>481</v>
      </c>
      <c r="G486" s="184">
        <v>0.1</v>
      </c>
      <c r="H486" s="184">
        <v>0.1</v>
      </c>
      <c r="I486" s="138"/>
      <c r="J486" s="175" t="s">
        <v>481</v>
      </c>
      <c r="K486" s="175"/>
      <c r="L486" s="135" t="s">
        <v>501</v>
      </c>
    </row>
    <row r="487" spans="1:12" ht="28.8" x14ac:dyDescent="0.3">
      <c r="A487" s="134">
        <v>34</v>
      </c>
      <c r="B487" s="135" t="s">
        <v>476</v>
      </c>
      <c r="C487" s="135" t="s">
        <v>477</v>
      </c>
      <c r="D487" s="135" t="s">
        <v>478</v>
      </c>
      <c r="E487" s="136" t="s">
        <v>482</v>
      </c>
      <c r="F487" s="136" t="s">
        <v>482</v>
      </c>
      <c r="G487" s="184">
        <v>0.05</v>
      </c>
      <c r="H487" s="184">
        <v>0.05</v>
      </c>
      <c r="I487" s="138"/>
      <c r="J487" s="175" t="s">
        <v>482</v>
      </c>
      <c r="K487" s="175"/>
      <c r="L487" s="135" t="s">
        <v>501</v>
      </c>
    </row>
    <row r="488" spans="1:12" ht="28.8" x14ac:dyDescent="0.3">
      <c r="A488" s="134">
        <v>34</v>
      </c>
      <c r="B488" s="135" t="s">
        <v>476</v>
      </c>
      <c r="C488" s="135" t="s">
        <v>477</v>
      </c>
      <c r="D488" s="135" t="s">
        <v>478</v>
      </c>
      <c r="E488" s="136" t="s">
        <v>483</v>
      </c>
      <c r="F488" s="136" t="s">
        <v>483</v>
      </c>
      <c r="G488" s="184">
        <v>0.05</v>
      </c>
      <c r="H488" s="184">
        <v>0.05</v>
      </c>
      <c r="I488" s="138"/>
      <c r="J488" s="175" t="s">
        <v>483</v>
      </c>
      <c r="K488" s="175"/>
      <c r="L488" s="135" t="s">
        <v>501</v>
      </c>
    </row>
    <row r="489" spans="1:12" ht="28.8" x14ac:dyDescent="0.3">
      <c r="A489" s="143">
        <v>35</v>
      </c>
      <c r="B489" s="144" t="s">
        <v>484</v>
      </c>
      <c r="C489" s="144" t="s">
        <v>485</v>
      </c>
      <c r="D489" s="144" t="s">
        <v>486</v>
      </c>
      <c r="E489" s="145" t="s">
        <v>487</v>
      </c>
      <c r="F489" s="145" t="s">
        <v>487</v>
      </c>
      <c r="G489" s="195">
        <v>0.05</v>
      </c>
      <c r="H489" s="195">
        <v>0.05</v>
      </c>
      <c r="I489" s="179">
        <v>1</v>
      </c>
      <c r="J489" s="144" t="s">
        <v>488</v>
      </c>
      <c r="K489" s="144"/>
      <c r="L489" s="144" t="s">
        <v>501</v>
      </c>
    </row>
    <row r="490" spans="1:12" x14ac:dyDescent="0.3">
      <c r="A490" s="143">
        <v>35</v>
      </c>
      <c r="B490" s="144" t="s">
        <v>484</v>
      </c>
      <c r="C490" s="144" t="s">
        <v>485</v>
      </c>
      <c r="D490" s="144" t="s">
        <v>486</v>
      </c>
      <c r="E490" s="161" t="s">
        <v>379</v>
      </c>
      <c r="F490" s="161" t="s">
        <v>379</v>
      </c>
      <c r="G490" s="195">
        <v>0.05</v>
      </c>
      <c r="H490" s="195">
        <v>0.05</v>
      </c>
      <c r="I490" s="179">
        <v>0.85</v>
      </c>
      <c r="J490" s="172" t="s">
        <v>489</v>
      </c>
      <c r="K490" s="172"/>
      <c r="L490" s="144" t="s">
        <v>501</v>
      </c>
    </row>
    <row r="491" spans="1:12" ht="28.8" x14ac:dyDescent="0.3">
      <c r="A491" s="143">
        <v>35</v>
      </c>
      <c r="B491" s="144" t="s">
        <v>484</v>
      </c>
      <c r="C491" s="144" t="s">
        <v>485</v>
      </c>
      <c r="D491" s="144" t="s">
        <v>486</v>
      </c>
      <c r="E491" s="161" t="s">
        <v>358</v>
      </c>
      <c r="F491" s="161" t="s">
        <v>358</v>
      </c>
      <c r="G491" s="195">
        <v>0.1</v>
      </c>
      <c r="H491" s="195">
        <v>0.1</v>
      </c>
      <c r="I491" s="179" t="s">
        <v>359</v>
      </c>
      <c r="J491" s="170" t="s">
        <v>360</v>
      </c>
      <c r="K491" s="170"/>
      <c r="L491" s="144" t="s">
        <v>501</v>
      </c>
    </row>
    <row r="492" spans="1:12" ht="14.55" customHeight="1" x14ac:dyDescent="0.3">
      <c r="A492" s="143">
        <v>35</v>
      </c>
      <c r="B492" s="144" t="s">
        <v>484</v>
      </c>
      <c r="C492" s="144" t="s">
        <v>485</v>
      </c>
      <c r="D492" s="144" t="s">
        <v>486</v>
      </c>
      <c r="E492" s="300" t="s">
        <v>358</v>
      </c>
      <c r="F492" s="146" t="s">
        <v>358</v>
      </c>
      <c r="G492" s="324">
        <v>0.1</v>
      </c>
      <c r="H492" s="195">
        <v>0.05</v>
      </c>
      <c r="I492" s="179"/>
      <c r="J492" s="170" t="s">
        <v>399</v>
      </c>
      <c r="K492" s="170"/>
      <c r="L492" s="144" t="s">
        <v>501</v>
      </c>
    </row>
    <row r="493" spans="1:12" ht="28.8" x14ac:dyDescent="0.3">
      <c r="A493" s="143">
        <v>35</v>
      </c>
      <c r="B493" s="144" t="s">
        <v>484</v>
      </c>
      <c r="C493" s="144" t="s">
        <v>485</v>
      </c>
      <c r="D493" s="144" t="s">
        <v>486</v>
      </c>
      <c r="E493" s="300"/>
      <c r="F493" s="146" t="s">
        <v>358</v>
      </c>
      <c r="G493" s="324"/>
      <c r="H493" s="195">
        <v>0.05</v>
      </c>
      <c r="I493" s="179"/>
      <c r="J493" s="170" t="s">
        <v>387</v>
      </c>
      <c r="K493" s="170"/>
      <c r="L493" s="144" t="s">
        <v>501</v>
      </c>
    </row>
    <row r="494" spans="1:12" ht="14.55" customHeight="1" x14ac:dyDescent="0.3">
      <c r="A494" s="143">
        <v>35</v>
      </c>
      <c r="B494" s="144" t="s">
        <v>484</v>
      </c>
      <c r="C494" s="144" t="s">
        <v>485</v>
      </c>
      <c r="D494" s="144" t="s">
        <v>486</v>
      </c>
      <c r="E494" s="300" t="s">
        <v>361</v>
      </c>
      <c r="F494" s="146" t="s">
        <v>361</v>
      </c>
      <c r="G494" s="324">
        <v>0.05</v>
      </c>
      <c r="H494" s="195">
        <v>2.5000000000000001E-2</v>
      </c>
      <c r="I494" s="179"/>
      <c r="J494" s="193" t="s">
        <v>362</v>
      </c>
      <c r="K494" s="193"/>
      <c r="L494" s="144" t="s">
        <v>501</v>
      </c>
    </row>
    <row r="495" spans="1:12" ht="28.8" x14ac:dyDescent="0.3">
      <c r="A495" s="143">
        <v>35</v>
      </c>
      <c r="B495" s="144" t="s">
        <v>484</v>
      </c>
      <c r="C495" s="144" t="s">
        <v>485</v>
      </c>
      <c r="D495" s="144" t="s">
        <v>486</v>
      </c>
      <c r="E495" s="300"/>
      <c r="F495" s="146" t="s">
        <v>361</v>
      </c>
      <c r="G495" s="324"/>
      <c r="H495" s="195">
        <v>2.5000000000000001E-2</v>
      </c>
      <c r="I495" s="179" t="s">
        <v>224</v>
      </c>
      <c r="J495" s="193" t="s">
        <v>363</v>
      </c>
      <c r="K495" s="193"/>
      <c r="L495" s="144" t="s">
        <v>501</v>
      </c>
    </row>
    <row r="496" spans="1:12" ht="43.2" x14ac:dyDescent="0.3">
      <c r="A496" s="143">
        <v>35</v>
      </c>
      <c r="B496" s="144" t="s">
        <v>484</v>
      </c>
      <c r="C496" s="144" t="s">
        <v>485</v>
      </c>
      <c r="D496" s="144" t="s">
        <v>486</v>
      </c>
      <c r="E496" s="145" t="s">
        <v>490</v>
      </c>
      <c r="F496" s="145" t="s">
        <v>491</v>
      </c>
      <c r="G496" s="195">
        <v>0.1</v>
      </c>
      <c r="H496" s="195">
        <v>0.1</v>
      </c>
      <c r="I496" s="179"/>
      <c r="J496" s="193" t="s">
        <v>490</v>
      </c>
      <c r="K496" s="193"/>
      <c r="L496" s="144" t="s">
        <v>501</v>
      </c>
    </row>
    <row r="497" spans="1:12" ht="43.2" x14ac:dyDescent="0.3">
      <c r="A497" s="143">
        <v>35</v>
      </c>
      <c r="B497" s="144" t="s">
        <v>484</v>
      </c>
      <c r="C497" s="144" t="s">
        <v>485</v>
      </c>
      <c r="D497" s="144" t="s">
        <v>486</v>
      </c>
      <c r="E497" s="145" t="s">
        <v>492</v>
      </c>
      <c r="F497" s="145" t="s">
        <v>493</v>
      </c>
      <c r="G497" s="195">
        <v>0.1</v>
      </c>
      <c r="H497" s="195">
        <v>0.1</v>
      </c>
      <c r="I497" s="179"/>
      <c r="J497" s="193" t="s">
        <v>492</v>
      </c>
      <c r="K497" s="193"/>
      <c r="L497" s="144" t="s">
        <v>501</v>
      </c>
    </row>
    <row r="498" spans="1:12" ht="57.6" x14ac:dyDescent="0.3">
      <c r="A498" s="143">
        <v>35</v>
      </c>
      <c r="B498" s="144" t="s">
        <v>484</v>
      </c>
      <c r="C498" s="144" t="s">
        <v>485</v>
      </c>
      <c r="D498" s="144" t="s">
        <v>486</v>
      </c>
      <c r="E498" s="145" t="s">
        <v>464</v>
      </c>
      <c r="F498" s="145" t="s">
        <v>465</v>
      </c>
      <c r="G498" s="195">
        <v>0.1</v>
      </c>
      <c r="H498" s="195">
        <v>0.1</v>
      </c>
      <c r="I498" s="179"/>
      <c r="J498" s="193" t="s">
        <v>464</v>
      </c>
      <c r="K498" s="193"/>
      <c r="L498" s="144" t="s">
        <v>501</v>
      </c>
    </row>
    <row r="499" spans="1:12" ht="72" x14ac:dyDescent="0.3">
      <c r="A499" s="143">
        <v>35</v>
      </c>
      <c r="B499" s="144" t="s">
        <v>484</v>
      </c>
      <c r="C499" s="144" t="s">
        <v>485</v>
      </c>
      <c r="D499" s="144" t="s">
        <v>486</v>
      </c>
      <c r="E499" s="145" t="s">
        <v>468</v>
      </c>
      <c r="F499" s="145" t="s">
        <v>469</v>
      </c>
      <c r="G499" s="195">
        <v>0.05</v>
      </c>
      <c r="H499" s="195">
        <v>0.05</v>
      </c>
      <c r="I499" s="179"/>
      <c r="J499" s="193" t="s">
        <v>468</v>
      </c>
      <c r="K499" s="193"/>
      <c r="L499" s="144" t="s">
        <v>501</v>
      </c>
    </row>
    <row r="500" spans="1:12" ht="43.2" x14ac:dyDescent="0.3">
      <c r="A500" s="143">
        <v>35</v>
      </c>
      <c r="B500" s="144" t="s">
        <v>484</v>
      </c>
      <c r="C500" s="144" t="s">
        <v>485</v>
      </c>
      <c r="D500" s="144" t="s">
        <v>486</v>
      </c>
      <c r="E500" s="145" t="s">
        <v>494</v>
      </c>
      <c r="F500" s="145" t="s">
        <v>495</v>
      </c>
      <c r="G500" s="195">
        <v>0.05</v>
      </c>
      <c r="H500" s="195">
        <v>0.05</v>
      </c>
      <c r="I500" s="179"/>
      <c r="J500" s="193" t="s">
        <v>494</v>
      </c>
      <c r="K500" s="193"/>
      <c r="L500" s="144" t="s">
        <v>501</v>
      </c>
    </row>
    <row r="501" spans="1:12" ht="43.2" x14ac:dyDescent="0.3">
      <c r="A501" s="143">
        <v>35</v>
      </c>
      <c r="B501" s="144" t="s">
        <v>484</v>
      </c>
      <c r="C501" s="144" t="s">
        <v>485</v>
      </c>
      <c r="D501" s="144" t="s">
        <v>486</v>
      </c>
      <c r="E501" s="145" t="s">
        <v>496</v>
      </c>
      <c r="F501" s="145" t="s">
        <v>497</v>
      </c>
      <c r="G501" s="195">
        <v>0.1</v>
      </c>
      <c r="H501" s="195">
        <v>0.1</v>
      </c>
      <c r="I501" s="179"/>
      <c r="J501" s="193" t="s">
        <v>496</v>
      </c>
      <c r="K501" s="193"/>
      <c r="L501" s="144" t="s">
        <v>501</v>
      </c>
    </row>
    <row r="502" spans="1:12" ht="28.8" x14ac:dyDescent="0.3">
      <c r="A502" s="143">
        <v>35</v>
      </c>
      <c r="B502" s="144" t="s">
        <v>484</v>
      </c>
      <c r="C502" s="144" t="s">
        <v>485</v>
      </c>
      <c r="D502" s="144" t="s">
        <v>486</v>
      </c>
      <c r="E502" s="145" t="s">
        <v>474</v>
      </c>
      <c r="F502" s="145" t="s">
        <v>475</v>
      </c>
      <c r="G502" s="195">
        <v>0.1</v>
      </c>
      <c r="H502" s="195">
        <v>0.1</v>
      </c>
      <c r="I502" s="179"/>
      <c r="J502" s="193" t="s">
        <v>474</v>
      </c>
      <c r="K502" s="193"/>
      <c r="L502" s="144" t="s">
        <v>501</v>
      </c>
    </row>
    <row r="503" spans="1:12" ht="28.8" x14ac:dyDescent="0.3">
      <c r="A503" s="143">
        <v>35</v>
      </c>
      <c r="B503" s="144" t="s">
        <v>484</v>
      </c>
      <c r="C503" s="144" t="s">
        <v>485</v>
      </c>
      <c r="D503" s="144" t="s">
        <v>486</v>
      </c>
      <c r="E503" s="145" t="s">
        <v>498</v>
      </c>
      <c r="F503" s="145" t="s">
        <v>499</v>
      </c>
      <c r="G503" s="195">
        <v>0.05</v>
      </c>
      <c r="H503" s="195">
        <v>0.05</v>
      </c>
      <c r="I503" s="179"/>
      <c r="J503" s="193" t="s">
        <v>498</v>
      </c>
      <c r="K503" s="193"/>
      <c r="L503" s="144" t="s">
        <v>501</v>
      </c>
    </row>
    <row r="504" spans="1:12" ht="14.55" customHeight="1" x14ac:dyDescent="0.3">
      <c r="A504" s="134">
        <v>36</v>
      </c>
      <c r="B504" s="199" t="s">
        <v>500</v>
      </c>
      <c r="C504" s="199" t="s">
        <v>501</v>
      </c>
      <c r="D504" s="135" t="s">
        <v>502</v>
      </c>
      <c r="E504" s="325" t="s">
        <v>353</v>
      </c>
      <c r="F504" s="200" t="s">
        <v>353</v>
      </c>
      <c r="G504" s="326">
        <v>0.15</v>
      </c>
      <c r="H504" s="184">
        <v>0.02</v>
      </c>
      <c r="I504" s="164" t="s">
        <v>503</v>
      </c>
      <c r="J504" s="167" t="s">
        <v>504</v>
      </c>
      <c r="K504" s="167"/>
      <c r="L504" s="135" t="s">
        <v>966</v>
      </c>
    </row>
    <row r="505" spans="1:12" ht="28.8" x14ac:dyDescent="0.3">
      <c r="A505" s="134">
        <v>36</v>
      </c>
      <c r="B505" s="199" t="s">
        <v>500</v>
      </c>
      <c r="C505" s="199" t="s">
        <v>501</v>
      </c>
      <c r="D505" s="135" t="s">
        <v>502</v>
      </c>
      <c r="E505" s="325"/>
      <c r="F505" s="200" t="s">
        <v>353</v>
      </c>
      <c r="G505" s="326"/>
      <c r="H505" s="184">
        <v>0.03</v>
      </c>
      <c r="I505" s="164">
        <v>0</v>
      </c>
      <c r="J505" s="167" t="s">
        <v>422</v>
      </c>
      <c r="K505" s="167"/>
      <c r="L505" s="135" t="s">
        <v>966</v>
      </c>
    </row>
    <row r="506" spans="1:12" ht="28.8" x14ac:dyDescent="0.3">
      <c r="A506" s="134">
        <v>36</v>
      </c>
      <c r="B506" s="199" t="s">
        <v>500</v>
      </c>
      <c r="C506" s="199" t="s">
        <v>501</v>
      </c>
      <c r="D506" s="135" t="s">
        <v>502</v>
      </c>
      <c r="E506" s="325"/>
      <c r="F506" s="200" t="s">
        <v>353</v>
      </c>
      <c r="G506" s="326"/>
      <c r="H506" s="184">
        <v>0.03</v>
      </c>
      <c r="I506" s="138">
        <v>1</v>
      </c>
      <c r="J506" s="135" t="s">
        <v>373</v>
      </c>
      <c r="K506" s="135"/>
      <c r="L506" s="135" t="s">
        <v>966</v>
      </c>
    </row>
    <row r="507" spans="1:12" ht="28.8" x14ac:dyDescent="0.3">
      <c r="A507" s="134">
        <v>36</v>
      </c>
      <c r="B507" s="199" t="s">
        <v>500</v>
      </c>
      <c r="C507" s="199" t="s">
        <v>501</v>
      </c>
      <c r="D507" s="135" t="s">
        <v>502</v>
      </c>
      <c r="E507" s="325"/>
      <c r="F507" s="200" t="s">
        <v>353</v>
      </c>
      <c r="G507" s="326"/>
      <c r="H507" s="184">
        <v>0.02</v>
      </c>
      <c r="I507" s="138">
        <v>1</v>
      </c>
      <c r="J507" s="135" t="s">
        <v>423</v>
      </c>
      <c r="K507" s="135"/>
      <c r="L507" s="135" t="s">
        <v>966</v>
      </c>
    </row>
    <row r="508" spans="1:12" ht="28.8" x14ac:dyDescent="0.3">
      <c r="A508" s="134">
        <v>36</v>
      </c>
      <c r="B508" s="199" t="s">
        <v>500</v>
      </c>
      <c r="C508" s="199" t="s">
        <v>501</v>
      </c>
      <c r="D508" s="135" t="s">
        <v>502</v>
      </c>
      <c r="E508" s="325"/>
      <c r="F508" s="200" t="s">
        <v>353</v>
      </c>
      <c r="G508" s="326"/>
      <c r="H508" s="184">
        <v>0.03</v>
      </c>
      <c r="I508" s="138"/>
      <c r="J508" s="167" t="s">
        <v>374</v>
      </c>
      <c r="K508" s="167"/>
      <c r="L508" s="135" t="s">
        <v>966</v>
      </c>
    </row>
    <row r="509" spans="1:12" ht="28.8" x14ac:dyDescent="0.3">
      <c r="A509" s="134">
        <v>36</v>
      </c>
      <c r="B509" s="199" t="s">
        <v>500</v>
      </c>
      <c r="C509" s="199" t="s">
        <v>501</v>
      </c>
      <c r="D509" s="135" t="s">
        <v>502</v>
      </c>
      <c r="E509" s="325"/>
      <c r="F509" s="200" t="s">
        <v>353</v>
      </c>
      <c r="G509" s="326"/>
      <c r="H509" s="184">
        <v>0.02</v>
      </c>
      <c r="I509" s="138">
        <v>1</v>
      </c>
      <c r="J509" s="165" t="s">
        <v>505</v>
      </c>
      <c r="K509" s="165"/>
      <c r="L509" s="135" t="s">
        <v>966</v>
      </c>
    </row>
    <row r="510" spans="1:12" ht="14.55" customHeight="1" x14ac:dyDescent="0.3">
      <c r="A510" s="134">
        <v>36</v>
      </c>
      <c r="B510" s="199" t="s">
        <v>500</v>
      </c>
      <c r="C510" s="199" t="s">
        <v>501</v>
      </c>
      <c r="D510" s="135" t="s">
        <v>502</v>
      </c>
      <c r="E510" s="296" t="s">
        <v>487</v>
      </c>
      <c r="F510" s="137" t="s">
        <v>487</v>
      </c>
      <c r="G510" s="321">
        <v>0.1</v>
      </c>
      <c r="H510" s="184">
        <v>0.05</v>
      </c>
      <c r="I510" s="138">
        <v>1</v>
      </c>
      <c r="J510" s="135" t="s">
        <v>488</v>
      </c>
      <c r="K510" s="135"/>
      <c r="L510" s="135" t="s">
        <v>966</v>
      </c>
    </row>
    <row r="511" spans="1:12" ht="28.8" x14ac:dyDescent="0.3">
      <c r="A511" s="134">
        <v>36</v>
      </c>
      <c r="B511" s="199" t="s">
        <v>500</v>
      </c>
      <c r="C511" s="199" t="s">
        <v>501</v>
      </c>
      <c r="D511" s="135" t="s">
        <v>502</v>
      </c>
      <c r="E511" s="296"/>
      <c r="F511" s="137" t="s">
        <v>487</v>
      </c>
      <c r="G511" s="321"/>
      <c r="H511" s="184">
        <v>0.05</v>
      </c>
      <c r="I511" s="138">
        <v>1</v>
      </c>
      <c r="J511" s="135" t="s">
        <v>506</v>
      </c>
      <c r="K511" s="135"/>
      <c r="L511" s="135" t="s">
        <v>966</v>
      </c>
    </row>
    <row r="512" spans="1:12" ht="14.55" customHeight="1" x14ac:dyDescent="0.3">
      <c r="A512" s="134">
        <v>36</v>
      </c>
      <c r="B512" s="199" t="s">
        <v>500</v>
      </c>
      <c r="C512" s="199" t="s">
        <v>501</v>
      </c>
      <c r="D512" s="135" t="s">
        <v>502</v>
      </c>
      <c r="E512" s="325" t="s">
        <v>375</v>
      </c>
      <c r="F512" s="200" t="s">
        <v>375</v>
      </c>
      <c r="G512" s="326">
        <v>0.1</v>
      </c>
      <c r="H512" s="184">
        <v>0.05</v>
      </c>
      <c r="I512" s="138" t="s">
        <v>376</v>
      </c>
      <c r="J512" s="165" t="s">
        <v>377</v>
      </c>
      <c r="K512" s="165"/>
      <c r="L512" s="135" t="s">
        <v>966</v>
      </c>
    </row>
    <row r="513" spans="1:12" ht="28.8" x14ac:dyDescent="0.3">
      <c r="A513" s="134">
        <v>36</v>
      </c>
      <c r="B513" s="199" t="s">
        <v>500</v>
      </c>
      <c r="C513" s="199" t="s">
        <v>501</v>
      </c>
      <c r="D513" s="135" t="s">
        <v>502</v>
      </c>
      <c r="E513" s="325"/>
      <c r="F513" s="200" t="s">
        <v>375</v>
      </c>
      <c r="G513" s="326"/>
      <c r="H513" s="184">
        <v>2.5000000000000001E-2</v>
      </c>
      <c r="I513" s="164"/>
      <c r="J513" s="165" t="s">
        <v>378</v>
      </c>
      <c r="K513" s="165"/>
      <c r="L513" s="135" t="s">
        <v>966</v>
      </c>
    </row>
    <row r="514" spans="1:12" ht="28.8" x14ac:dyDescent="0.3">
      <c r="A514" s="134">
        <v>36</v>
      </c>
      <c r="B514" s="199" t="s">
        <v>500</v>
      </c>
      <c r="C514" s="199" t="s">
        <v>501</v>
      </c>
      <c r="D514" s="135" t="s">
        <v>502</v>
      </c>
      <c r="E514" s="325"/>
      <c r="F514" s="200" t="s">
        <v>375</v>
      </c>
      <c r="G514" s="326"/>
      <c r="H514" s="184">
        <v>2.5000000000000001E-2</v>
      </c>
      <c r="I514" s="138"/>
      <c r="J514" s="167" t="s">
        <v>398</v>
      </c>
      <c r="K514" s="167"/>
      <c r="L514" s="135" t="s">
        <v>966</v>
      </c>
    </row>
    <row r="515" spans="1:12" x14ac:dyDescent="0.3">
      <c r="A515" s="134">
        <v>36</v>
      </c>
      <c r="B515" s="199" t="s">
        <v>500</v>
      </c>
      <c r="C515" s="199" t="s">
        <v>501</v>
      </c>
      <c r="D515" s="135" t="s">
        <v>502</v>
      </c>
      <c r="E515" s="296" t="s">
        <v>379</v>
      </c>
      <c r="F515" s="137" t="s">
        <v>379</v>
      </c>
      <c r="G515" s="321">
        <v>0.2</v>
      </c>
      <c r="H515" s="184">
        <v>0.1</v>
      </c>
      <c r="I515" s="138"/>
      <c r="J515" s="167" t="s">
        <v>380</v>
      </c>
      <c r="K515" s="167"/>
      <c r="L515" s="135" t="s">
        <v>966</v>
      </c>
    </row>
    <row r="516" spans="1:12" x14ac:dyDescent="0.3">
      <c r="A516" s="134">
        <v>36</v>
      </c>
      <c r="B516" s="199" t="s">
        <v>500</v>
      </c>
      <c r="C516" s="199" t="s">
        <v>501</v>
      </c>
      <c r="D516" s="135" t="s">
        <v>502</v>
      </c>
      <c r="E516" s="296"/>
      <c r="F516" s="137" t="s">
        <v>379</v>
      </c>
      <c r="G516" s="321"/>
      <c r="H516" s="184">
        <v>0.05</v>
      </c>
      <c r="I516" s="138">
        <v>0.85</v>
      </c>
      <c r="J516" s="167" t="s">
        <v>381</v>
      </c>
      <c r="K516" s="167"/>
      <c r="L516" s="135" t="s">
        <v>966</v>
      </c>
    </row>
    <row r="517" spans="1:12" x14ac:dyDescent="0.3">
      <c r="A517" s="134">
        <v>36</v>
      </c>
      <c r="B517" s="199" t="s">
        <v>500</v>
      </c>
      <c r="C517" s="199" t="s">
        <v>501</v>
      </c>
      <c r="D517" s="135" t="s">
        <v>502</v>
      </c>
      <c r="E517" s="296"/>
      <c r="F517" s="137" t="s">
        <v>379</v>
      </c>
      <c r="G517" s="321"/>
      <c r="H517" s="184">
        <v>0.05</v>
      </c>
      <c r="I517" s="138">
        <v>0.85</v>
      </c>
      <c r="J517" s="167" t="s">
        <v>489</v>
      </c>
      <c r="K517" s="167"/>
      <c r="L517" s="135" t="s">
        <v>966</v>
      </c>
    </row>
    <row r="518" spans="1:12" ht="14.55" customHeight="1" x14ac:dyDescent="0.3">
      <c r="A518" s="134">
        <v>36</v>
      </c>
      <c r="B518" s="199" t="s">
        <v>500</v>
      </c>
      <c r="C518" s="199" t="s">
        <v>501</v>
      </c>
      <c r="D518" s="135" t="s">
        <v>502</v>
      </c>
      <c r="E518" s="325" t="s">
        <v>424</v>
      </c>
      <c r="F518" s="200" t="s">
        <v>424</v>
      </c>
      <c r="G518" s="326">
        <v>0.1</v>
      </c>
      <c r="H518" s="184">
        <v>0.02</v>
      </c>
      <c r="I518" s="138">
        <v>1</v>
      </c>
      <c r="J518" s="165" t="s">
        <v>507</v>
      </c>
      <c r="K518" s="165"/>
      <c r="L518" s="135" t="s">
        <v>966</v>
      </c>
    </row>
    <row r="519" spans="1:12" ht="57.6" x14ac:dyDescent="0.3">
      <c r="A519" s="134">
        <v>36</v>
      </c>
      <c r="B519" s="199" t="s">
        <v>500</v>
      </c>
      <c r="C519" s="199" t="s">
        <v>501</v>
      </c>
      <c r="D519" s="135" t="s">
        <v>502</v>
      </c>
      <c r="E519" s="325"/>
      <c r="F519" s="200" t="s">
        <v>424</v>
      </c>
      <c r="G519" s="326"/>
      <c r="H519" s="184">
        <v>0</v>
      </c>
      <c r="I519" s="138">
        <v>1</v>
      </c>
      <c r="J519" s="165" t="s">
        <v>426</v>
      </c>
      <c r="K519" s="165"/>
      <c r="L519" s="135" t="s">
        <v>966</v>
      </c>
    </row>
    <row r="520" spans="1:12" ht="57.6" x14ac:dyDescent="0.3">
      <c r="A520" s="134">
        <v>36</v>
      </c>
      <c r="B520" s="199" t="s">
        <v>500</v>
      </c>
      <c r="C520" s="199" t="s">
        <v>501</v>
      </c>
      <c r="D520" s="135" t="s">
        <v>502</v>
      </c>
      <c r="E520" s="325"/>
      <c r="F520" s="200" t="s">
        <v>424</v>
      </c>
      <c r="G520" s="326"/>
      <c r="H520" s="184">
        <v>0.02</v>
      </c>
      <c r="I520" s="138" t="s">
        <v>508</v>
      </c>
      <c r="J520" s="165" t="s">
        <v>509</v>
      </c>
      <c r="K520" s="165"/>
      <c r="L520" s="135" t="s">
        <v>966</v>
      </c>
    </row>
    <row r="521" spans="1:12" ht="57.6" x14ac:dyDescent="0.3">
      <c r="A521" s="134">
        <v>36</v>
      </c>
      <c r="B521" s="199" t="s">
        <v>500</v>
      </c>
      <c r="C521" s="199" t="s">
        <v>501</v>
      </c>
      <c r="D521" s="135" t="s">
        <v>502</v>
      </c>
      <c r="E521" s="325"/>
      <c r="F521" s="200" t="s">
        <v>424</v>
      </c>
      <c r="G521" s="326"/>
      <c r="H521" s="184">
        <v>0.02</v>
      </c>
      <c r="I521" s="138"/>
      <c r="J521" s="165" t="s">
        <v>510</v>
      </c>
      <c r="K521" s="165"/>
      <c r="L521" s="135" t="s">
        <v>966</v>
      </c>
    </row>
    <row r="522" spans="1:12" ht="57.6" x14ac:dyDescent="0.3">
      <c r="A522" s="134">
        <v>36</v>
      </c>
      <c r="B522" s="199" t="s">
        <v>500</v>
      </c>
      <c r="C522" s="199" t="s">
        <v>501</v>
      </c>
      <c r="D522" s="135" t="s">
        <v>502</v>
      </c>
      <c r="E522" s="325"/>
      <c r="F522" s="200" t="s">
        <v>424</v>
      </c>
      <c r="G522" s="326"/>
      <c r="H522" s="184">
        <v>0.02</v>
      </c>
      <c r="I522" s="138"/>
      <c r="J522" s="165" t="s">
        <v>511</v>
      </c>
      <c r="K522" s="165"/>
      <c r="L522" s="135" t="s">
        <v>966</v>
      </c>
    </row>
    <row r="523" spans="1:12" ht="57.6" x14ac:dyDescent="0.3">
      <c r="A523" s="134">
        <v>36</v>
      </c>
      <c r="B523" s="199" t="s">
        <v>500</v>
      </c>
      <c r="C523" s="199" t="s">
        <v>501</v>
      </c>
      <c r="D523" s="135" t="s">
        <v>502</v>
      </c>
      <c r="E523" s="325"/>
      <c r="F523" s="200" t="s">
        <v>424</v>
      </c>
      <c r="G523" s="326"/>
      <c r="H523" s="184">
        <v>0.02</v>
      </c>
      <c r="I523" s="201">
        <v>150</v>
      </c>
      <c r="J523" s="167" t="s">
        <v>512</v>
      </c>
      <c r="K523" s="167"/>
      <c r="L523" s="135" t="s">
        <v>966</v>
      </c>
    </row>
    <row r="524" spans="1:12" x14ac:dyDescent="0.3">
      <c r="A524" s="134">
        <v>36</v>
      </c>
      <c r="B524" s="199" t="s">
        <v>500</v>
      </c>
      <c r="C524" s="199" t="s">
        <v>501</v>
      </c>
      <c r="D524" s="135" t="s">
        <v>502</v>
      </c>
      <c r="E524" s="296" t="s">
        <v>355</v>
      </c>
      <c r="F524" s="137" t="s">
        <v>355</v>
      </c>
      <c r="G524" s="321">
        <v>0.15</v>
      </c>
      <c r="H524" s="184">
        <v>0.05</v>
      </c>
      <c r="I524" s="138">
        <v>1</v>
      </c>
      <c r="J524" s="167" t="s">
        <v>356</v>
      </c>
      <c r="K524" s="167"/>
      <c r="L524" s="135" t="s">
        <v>966</v>
      </c>
    </row>
    <row r="525" spans="1:12" x14ac:dyDescent="0.3">
      <c r="A525" s="134">
        <v>36</v>
      </c>
      <c r="B525" s="199" t="s">
        <v>500</v>
      </c>
      <c r="C525" s="199" t="s">
        <v>501</v>
      </c>
      <c r="D525" s="135" t="s">
        <v>502</v>
      </c>
      <c r="E525" s="296"/>
      <c r="F525" s="137" t="s">
        <v>355</v>
      </c>
      <c r="G525" s="321"/>
      <c r="H525" s="184">
        <v>0.05</v>
      </c>
      <c r="I525" s="138" t="s">
        <v>224</v>
      </c>
      <c r="J525" s="167" t="s">
        <v>357</v>
      </c>
      <c r="K525" s="167"/>
      <c r="L525" s="135" t="s">
        <v>966</v>
      </c>
    </row>
    <row r="526" spans="1:12" x14ac:dyDescent="0.3">
      <c r="A526" s="134">
        <v>36</v>
      </c>
      <c r="B526" s="199" t="s">
        <v>500</v>
      </c>
      <c r="C526" s="199" t="s">
        <v>501</v>
      </c>
      <c r="D526" s="135" t="s">
        <v>502</v>
      </c>
      <c r="E526" s="296"/>
      <c r="F526" s="137" t="s">
        <v>355</v>
      </c>
      <c r="G526" s="321"/>
      <c r="H526" s="184">
        <v>0.05</v>
      </c>
      <c r="I526" s="138" t="s">
        <v>449</v>
      </c>
      <c r="J526" s="167" t="s">
        <v>450</v>
      </c>
      <c r="K526" s="167"/>
      <c r="L526" s="135" t="s">
        <v>966</v>
      </c>
    </row>
    <row r="527" spans="1:12" ht="14.55" customHeight="1" x14ac:dyDescent="0.3">
      <c r="A527" s="134">
        <v>36</v>
      </c>
      <c r="B527" s="199" t="s">
        <v>500</v>
      </c>
      <c r="C527" s="199" t="s">
        <v>501</v>
      </c>
      <c r="D527" s="135" t="s">
        <v>502</v>
      </c>
      <c r="E527" s="296" t="s">
        <v>382</v>
      </c>
      <c r="F527" s="137" t="s">
        <v>382</v>
      </c>
      <c r="G527" s="321">
        <v>0.05</v>
      </c>
      <c r="H527" s="184">
        <v>2.5000000000000001E-2</v>
      </c>
      <c r="I527" s="138">
        <v>1</v>
      </c>
      <c r="J527" s="167" t="s">
        <v>383</v>
      </c>
      <c r="K527" s="167"/>
      <c r="L527" s="135" t="s">
        <v>966</v>
      </c>
    </row>
    <row r="528" spans="1:12" ht="43.2" x14ac:dyDescent="0.3">
      <c r="A528" s="134">
        <v>36</v>
      </c>
      <c r="B528" s="199" t="s">
        <v>500</v>
      </c>
      <c r="C528" s="199" t="s">
        <v>501</v>
      </c>
      <c r="D528" s="135" t="s">
        <v>502</v>
      </c>
      <c r="E528" s="296"/>
      <c r="F528" s="137" t="s">
        <v>382</v>
      </c>
      <c r="G528" s="321"/>
      <c r="H528" s="184">
        <v>2.5000000000000001E-2</v>
      </c>
      <c r="I528" s="138">
        <v>0.3</v>
      </c>
      <c r="J528" s="167" t="s">
        <v>384</v>
      </c>
      <c r="K528" s="167"/>
      <c r="L528" s="135" t="s">
        <v>966</v>
      </c>
    </row>
    <row r="529" spans="1:12" x14ac:dyDescent="0.3">
      <c r="A529" s="134">
        <v>36</v>
      </c>
      <c r="B529" s="199" t="s">
        <v>500</v>
      </c>
      <c r="C529" s="199" t="s">
        <v>501</v>
      </c>
      <c r="D529" s="135" t="s">
        <v>502</v>
      </c>
      <c r="E529" s="136" t="s">
        <v>126</v>
      </c>
      <c r="F529" s="136" t="s">
        <v>126</v>
      </c>
      <c r="G529" s="189">
        <v>0.05</v>
      </c>
      <c r="H529" s="184">
        <v>0.05</v>
      </c>
      <c r="I529" s="138">
        <v>1</v>
      </c>
      <c r="J529" s="175" t="s">
        <v>385</v>
      </c>
      <c r="K529" s="175"/>
      <c r="L529" s="135" t="s">
        <v>966</v>
      </c>
    </row>
    <row r="530" spans="1:12" ht="14.55" customHeight="1" x14ac:dyDescent="0.3">
      <c r="A530" s="134">
        <v>36</v>
      </c>
      <c r="B530" s="199" t="s">
        <v>500</v>
      </c>
      <c r="C530" s="199" t="s">
        <v>501</v>
      </c>
      <c r="D530" s="135" t="s">
        <v>502</v>
      </c>
      <c r="E530" s="296" t="s">
        <v>358</v>
      </c>
      <c r="F530" s="137" t="s">
        <v>358</v>
      </c>
      <c r="G530" s="321">
        <v>0.05</v>
      </c>
      <c r="H530" s="184">
        <v>0.01</v>
      </c>
      <c r="I530" s="138" t="s">
        <v>359</v>
      </c>
      <c r="J530" s="165" t="s">
        <v>360</v>
      </c>
      <c r="K530" s="165"/>
      <c r="L530" s="135" t="s">
        <v>966</v>
      </c>
    </row>
    <row r="531" spans="1:12" ht="28.8" x14ac:dyDescent="0.3">
      <c r="A531" s="134">
        <v>36</v>
      </c>
      <c r="B531" s="199" t="s">
        <v>500</v>
      </c>
      <c r="C531" s="199" t="s">
        <v>501</v>
      </c>
      <c r="D531" s="135" t="s">
        <v>502</v>
      </c>
      <c r="E531" s="296"/>
      <c r="F531" s="137" t="s">
        <v>358</v>
      </c>
      <c r="G531" s="321"/>
      <c r="H531" s="184">
        <v>0.01</v>
      </c>
      <c r="I531" s="138"/>
      <c r="J531" s="165" t="s">
        <v>386</v>
      </c>
      <c r="K531" s="165"/>
      <c r="L531" s="135" t="s">
        <v>966</v>
      </c>
    </row>
    <row r="532" spans="1:12" ht="28.8" x14ac:dyDescent="0.3">
      <c r="A532" s="134">
        <v>36</v>
      </c>
      <c r="B532" s="199" t="s">
        <v>500</v>
      </c>
      <c r="C532" s="199" t="s">
        <v>501</v>
      </c>
      <c r="D532" s="135" t="s">
        <v>502</v>
      </c>
      <c r="E532" s="296"/>
      <c r="F532" s="137" t="s">
        <v>358</v>
      </c>
      <c r="G532" s="321"/>
      <c r="H532" s="184">
        <v>0.01</v>
      </c>
      <c r="I532" s="138"/>
      <c r="J532" s="165" t="s">
        <v>399</v>
      </c>
      <c r="K532" s="165"/>
      <c r="L532" s="135" t="s">
        <v>966</v>
      </c>
    </row>
    <row r="533" spans="1:12" ht="28.8" x14ac:dyDescent="0.3">
      <c r="A533" s="134">
        <v>36</v>
      </c>
      <c r="B533" s="199" t="s">
        <v>500</v>
      </c>
      <c r="C533" s="199" t="s">
        <v>501</v>
      </c>
      <c r="D533" s="135" t="s">
        <v>502</v>
      </c>
      <c r="E533" s="296"/>
      <c r="F533" s="137" t="s">
        <v>358</v>
      </c>
      <c r="G533" s="321"/>
      <c r="H533" s="184">
        <v>0.01</v>
      </c>
      <c r="I533" s="138"/>
      <c r="J533" s="165" t="s">
        <v>387</v>
      </c>
      <c r="K533" s="165"/>
      <c r="L533" s="135" t="s">
        <v>966</v>
      </c>
    </row>
    <row r="534" spans="1:12" ht="28.8" x14ac:dyDescent="0.3">
      <c r="A534" s="134">
        <v>36</v>
      </c>
      <c r="B534" s="199" t="s">
        <v>500</v>
      </c>
      <c r="C534" s="199" t="s">
        <v>501</v>
      </c>
      <c r="D534" s="135" t="s">
        <v>502</v>
      </c>
      <c r="E534" s="296"/>
      <c r="F534" s="137" t="s">
        <v>358</v>
      </c>
      <c r="G534" s="321"/>
      <c r="H534" s="184">
        <v>5.0000000000000001E-3</v>
      </c>
      <c r="I534" s="138">
        <v>1</v>
      </c>
      <c r="J534" s="167" t="s">
        <v>388</v>
      </c>
      <c r="K534" s="167"/>
      <c r="L534" s="135" t="s">
        <v>966</v>
      </c>
    </row>
    <row r="535" spans="1:12" ht="28.8" x14ac:dyDescent="0.3">
      <c r="A535" s="134">
        <v>36</v>
      </c>
      <c r="B535" s="199" t="s">
        <v>500</v>
      </c>
      <c r="C535" s="199" t="s">
        <v>501</v>
      </c>
      <c r="D535" s="135" t="s">
        <v>502</v>
      </c>
      <c r="E535" s="296"/>
      <c r="F535" s="137" t="s">
        <v>358</v>
      </c>
      <c r="G535" s="321"/>
      <c r="H535" s="184">
        <v>5.0000000000000001E-3</v>
      </c>
      <c r="I535" s="201">
        <v>0</v>
      </c>
      <c r="J535" s="167" t="s">
        <v>513</v>
      </c>
      <c r="K535" s="167"/>
      <c r="L535" s="135" t="s">
        <v>966</v>
      </c>
    </row>
    <row r="536" spans="1:12" ht="14.55" customHeight="1" x14ac:dyDescent="0.3">
      <c r="A536" s="134">
        <v>36</v>
      </c>
      <c r="B536" s="199" t="s">
        <v>500</v>
      </c>
      <c r="C536" s="199" t="s">
        <v>501</v>
      </c>
      <c r="D536" s="135" t="s">
        <v>502</v>
      </c>
      <c r="E536" s="296" t="s">
        <v>361</v>
      </c>
      <c r="F536" s="137" t="s">
        <v>361</v>
      </c>
      <c r="G536" s="321">
        <v>0.05</v>
      </c>
      <c r="H536" s="184">
        <v>0.02</v>
      </c>
      <c r="I536" s="138"/>
      <c r="J536" s="175" t="s">
        <v>362</v>
      </c>
      <c r="K536" s="175"/>
      <c r="L536" s="135" t="s">
        <v>966</v>
      </c>
    </row>
    <row r="537" spans="1:12" ht="28.8" x14ac:dyDescent="0.3">
      <c r="A537" s="134">
        <v>36</v>
      </c>
      <c r="B537" s="199" t="s">
        <v>500</v>
      </c>
      <c r="C537" s="199" t="s">
        <v>501</v>
      </c>
      <c r="D537" s="135" t="s">
        <v>502</v>
      </c>
      <c r="E537" s="296"/>
      <c r="F537" s="137" t="s">
        <v>361</v>
      </c>
      <c r="G537" s="321"/>
      <c r="H537" s="184">
        <v>0.02</v>
      </c>
      <c r="I537" s="138">
        <v>1</v>
      </c>
      <c r="J537" s="175" t="s">
        <v>514</v>
      </c>
      <c r="K537" s="175"/>
      <c r="L537" s="135" t="s">
        <v>966</v>
      </c>
    </row>
    <row r="538" spans="1:12" ht="28.8" x14ac:dyDescent="0.3">
      <c r="A538" s="134">
        <v>36</v>
      </c>
      <c r="B538" s="199" t="s">
        <v>500</v>
      </c>
      <c r="C538" s="199" t="s">
        <v>501</v>
      </c>
      <c r="D538" s="135" t="s">
        <v>502</v>
      </c>
      <c r="E538" s="296"/>
      <c r="F538" s="137" t="s">
        <v>361</v>
      </c>
      <c r="G538" s="321"/>
      <c r="H538" s="184">
        <v>0.01</v>
      </c>
      <c r="I538" s="138" t="s">
        <v>224</v>
      </c>
      <c r="J538" s="175" t="s">
        <v>363</v>
      </c>
      <c r="K538" s="175"/>
      <c r="L538" s="135" t="s">
        <v>966</v>
      </c>
    </row>
    <row r="539" spans="1:12" ht="28.8" x14ac:dyDescent="0.3">
      <c r="A539" s="134">
        <v>37</v>
      </c>
      <c r="B539" s="134" t="s">
        <v>970</v>
      </c>
      <c r="C539" s="135" t="s">
        <v>515</v>
      </c>
      <c r="D539" s="202" t="s">
        <v>516</v>
      </c>
      <c r="E539" s="203" t="s">
        <v>517</v>
      </c>
      <c r="F539" s="203" t="s">
        <v>517</v>
      </c>
      <c r="G539" s="168">
        <v>0</v>
      </c>
      <c r="H539" s="183"/>
      <c r="I539" s="168" t="s">
        <v>518</v>
      </c>
      <c r="J539" s="204" t="s">
        <v>517</v>
      </c>
      <c r="K539" s="135" t="s">
        <v>519</v>
      </c>
      <c r="L539" s="135" t="s">
        <v>966</v>
      </c>
    </row>
    <row r="540" spans="1:12" x14ac:dyDescent="0.3">
      <c r="A540" s="134">
        <v>37</v>
      </c>
      <c r="B540" s="134" t="s">
        <v>970</v>
      </c>
      <c r="C540" s="135" t="s">
        <v>515</v>
      </c>
      <c r="D540" s="202" t="s">
        <v>516</v>
      </c>
      <c r="E540" s="205" t="s">
        <v>520</v>
      </c>
      <c r="F540" s="205" t="s">
        <v>520</v>
      </c>
      <c r="G540" s="307">
        <v>0.25</v>
      </c>
      <c r="H540" s="140">
        <v>0.05</v>
      </c>
      <c r="I540" s="168" t="s">
        <v>521</v>
      </c>
      <c r="J540" s="206" t="s">
        <v>520</v>
      </c>
      <c r="K540" s="135" t="s">
        <v>519</v>
      </c>
      <c r="L540" s="135" t="s">
        <v>966</v>
      </c>
    </row>
    <row r="541" spans="1:12" x14ac:dyDescent="0.3">
      <c r="A541" s="134">
        <v>37</v>
      </c>
      <c r="B541" s="134" t="s">
        <v>970</v>
      </c>
      <c r="C541" s="135" t="s">
        <v>515</v>
      </c>
      <c r="D541" s="202" t="s">
        <v>516</v>
      </c>
      <c r="E541" s="205" t="s">
        <v>522</v>
      </c>
      <c r="F541" s="205" t="s">
        <v>522</v>
      </c>
      <c r="G541" s="307"/>
      <c r="H541" s="140">
        <v>0.05</v>
      </c>
      <c r="I541" s="168" t="s">
        <v>523</v>
      </c>
      <c r="J541" s="206" t="s">
        <v>522</v>
      </c>
      <c r="K541" s="135" t="s">
        <v>519</v>
      </c>
      <c r="L541" s="135" t="s">
        <v>966</v>
      </c>
    </row>
    <row r="542" spans="1:12" x14ac:dyDescent="0.3">
      <c r="A542" s="134">
        <v>37</v>
      </c>
      <c r="B542" s="134" t="s">
        <v>970</v>
      </c>
      <c r="C542" s="135" t="s">
        <v>515</v>
      </c>
      <c r="D542" s="202" t="s">
        <v>516</v>
      </c>
      <c r="E542" s="207" t="s">
        <v>524</v>
      </c>
      <c r="F542" s="207" t="s">
        <v>524</v>
      </c>
      <c r="G542" s="307"/>
      <c r="H542" s="208">
        <v>0.05</v>
      </c>
      <c r="I542" s="168">
        <v>0.65</v>
      </c>
      <c r="J542" s="209" t="s">
        <v>524</v>
      </c>
      <c r="K542" s="135" t="s">
        <v>519</v>
      </c>
      <c r="L542" s="135" t="s">
        <v>966</v>
      </c>
    </row>
    <row r="543" spans="1:12" x14ac:dyDescent="0.3">
      <c r="A543" s="134">
        <v>37</v>
      </c>
      <c r="B543" s="134" t="s">
        <v>970</v>
      </c>
      <c r="C543" s="135" t="s">
        <v>515</v>
      </c>
      <c r="D543" s="202" t="s">
        <v>516</v>
      </c>
      <c r="E543" s="207" t="s">
        <v>525</v>
      </c>
      <c r="F543" s="207" t="s">
        <v>525</v>
      </c>
      <c r="G543" s="307"/>
      <c r="H543" s="208">
        <v>0.05</v>
      </c>
      <c r="I543" s="168">
        <v>0</v>
      </c>
      <c r="J543" s="209" t="s">
        <v>525</v>
      </c>
      <c r="K543" s="135" t="s">
        <v>519</v>
      </c>
      <c r="L543" s="135" t="s">
        <v>966</v>
      </c>
    </row>
    <row r="544" spans="1:12" ht="43.2" x14ac:dyDescent="0.3">
      <c r="A544" s="134">
        <v>37</v>
      </c>
      <c r="B544" s="134" t="s">
        <v>970</v>
      </c>
      <c r="C544" s="135" t="s">
        <v>515</v>
      </c>
      <c r="D544" s="202" t="s">
        <v>516</v>
      </c>
      <c r="E544" s="203" t="s">
        <v>526</v>
      </c>
      <c r="F544" s="203" t="s">
        <v>526</v>
      </c>
      <c r="G544" s="307"/>
      <c r="H544" s="183">
        <v>0.05</v>
      </c>
      <c r="I544" s="210" t="s">
        <v>527</v>
      </c>
      <c r="J544" s="204" t="s">
        <v>528</v>
      </c>
      <c r="K544" s="135" t="s">
        <v>529</v>
      </c>
      <c r="L544" s="135" t="s">
        <v>966</v>
      </c>
    </row>
    <row r="545" spans="1:12" ht="57.6" x14ac:dyDescent="0.3">
      <c r="A545" s="134">
        <v>37</v>
      </c>
      <c r="B545" s="134" t="s">
        <v>970</v>
      </c>
      <c r="C545" s="135" t="s">
        <v>515</v>
      </c>
      <c r="D545" s="202" t="s">
        <v>516</v>
      </c>
      <c r="E545" s="205" t="s">
        <v>530</v>
      </c>
      <c r="F545" s="205" t="s">
        <v>530</v>
      </c>
      <c r="G545" s="162">
        <v>0.1</v>
      </c>
      <c r="H545" s="183">
        <v>0.1</v>
      </c>
      <c r="I545" s="168">
        <v>1</v>
      </c>
      <c r="J545" s="206" t="s">
        <v>530</v>
      </c>
      <c r="K545" s="135" t="s">
        <v>529</v>
      </c>
      <c r="L545" s="135" t="s">
        <v>966</v>
      </c>
    </row>
    <row r="546" spans="1:12" x14ac:dyDescent="0.3">
      <c r="A546" s="134">
        <v>37</v>
      </c>
      <c r="B546" s="134" t="s">
        <v>970</v>
      </c>
      <c r="C546" s="135" t="s">
        <v>515</v>
      </c>
      <c r="D546" s="202" t="s">
        <v>516</v>
      </c>
      <c r="E546" s="205" t="s">
        <v>531</v>
      </c>
      <c r="F546" s="205" t="s">
        <v>531</v>
      </c>
      <c r="G546" s="307">
        <v>0.1</v>
      </c>
      <c r="H546" s="183">
        <v>0.05</v>
      </c>
      <c r="I546" s="168" t="s">
        <v>532</v>
      </c>
      <c r="J546" s="206" t="s">
        <v>531</v>
      </c>
      <c r="K546" s="211" t="s">
        <v>533</v>
      </c>
      <c r="L546" s="211" t="s">
        <v>966</v>
      </c>
    </row>
    <row r="547" spans="1:12" ht="28.8" x14ac:dyDescent="0.3">
      <c r="A547" s="134">
        <v>37</v>
      </c>
      <c r="B547" s="134" t="s">
        <v>970</v>
      </c>
      <c r="C547" s="135" t="s">
        <v>515</v>
      </c>
      <c r="D547" s="202" t="s">
        <v>516</v>
      </c>
      <c r="E547" s="205" t="s">
        <v>534</v>
      </c>
      <c r="F547" s="205" t="s">
        <v>534</v>
      </c>
      <c r="G547" s="307"/>
      <c r="H547" s="183">
        <v>0.05</v>
      </c>
      <c r="I547" s="168" t="s">
        <v>535</v>
      </c>
      <c r="J547" s="206" t="s">
        <v>534</v>
      </c>
      <c r="K547" s="211" t="s">
        <v>533</v>
      </c>
      <c r="L547" s="211" t="s">
        <v>966</v>
      </c>
    </row>
    <row r="548" spans="1:12" ht="28.8" x14ac:dyDescent="0.3">
      <c r="A548" s="134">
        <v>37</v>
      </c>
      <c r="B548" s="134" t="s">
        <v>970</v>
      </c>
      <c r="C548" s="135" t="s">
        <v>515</v>
      </c>
      <c r="D548" s="202" t="s">
        <v>516</v>
      </c>
      <c r="E548" s="205" t="s">
        <v>510</v>
      </c>
      <c r="F548" s="205" t="s">
        <v>510</v>
      </c>
      <c r="G548" s="307">
        <v>0.15</v>
      </c>
      <c r="H548" s="140">
        <v>0.05</v>
      </c>
      <c r="I548" s="168">
        <v>1</v>
      </c>
      <c r="J548" s="206" t="s">
        <v>510</v>
      </c>
      <c r="K548" s="135" t="s">
        <v>536</v>
      </c>
      <c r="L548" s="135" t="s">
        <v>966</v>
      </c>
    </row>
    <row r="549" spans="1:12" ht="28.8" x14ac:dyDescent="0.3">
      <c r="A549" s="134">
        <v>37</v>
      </c>
      <c r="B549" s="134" t="s">
        <v>970</v>
      </c>
      <c r="C549" s="135" t="s">
        <v>515</v>
      </c>
      <c r="D549" s="202" t="s">
        <v>516</v>
      </c>
      <c r="E549" s="207" t="s">
        <v>537</v>
      </c>
      <c r="F549" s="207" t="s">
        <v>537</v>
      </c>
      <c r="G549" s="307"/>
      <c r="H549" s="208">
        <v>0.05</v>
      </c>
      <c r="I549" s="168">
        <v>1</v>
      </c>
      <c r="J549" s="209" t="s">
        <v>537</v>
      </c>
      <c r="K549" s="135" t="s">
        <v>536</v>
      </c>
      <c r="L549" s="135" t="s">
        <v>966</v>
      </c>
    </row>
    <row r="550" spans="1:12" ht="28.8" x14ac:dyDescent="0.3">
      <c r="A550" s="134">
        <v>37</v>
      </c>
      <c r="B550" s="134" t="s">
        <v>970</v>
      </c>
      <c r="C550" s="135" t="s">
        <v>515</v>
      </c>
      <c r="D550" s="202" t="s">
        <v>516</v>
      </c>
      <c r="E550" s="205" t="s">
        <v>512</v>
      </c>
      <c r="F550" s="205" t="s">
        <v>512</v>
      </c>
      <c r="G550" s="307"/>
      <c r="H550" s="140">
        <v>0.05</v>
      </c>
      <c r="I550" s="168">
        <v>1</v>
      </c>
      <c r="J550" s="206" t="s">
        <v>512</v>
      </c>
      <c r="K550" s="135" t="s">
        <v>536</v>
      </c>
      <c r="L550" s="135" t="s">
        <v>966</v>
      </c>
    </row>
    <row r="551" spans="1:12" ht="28.8" x14ac:dyDescent="0.3">
      <c r="A551" s="134">
        <v>37</v>
      </c>
      <c r="B551" s="134" t="s">
        <v>970</v>
      </c>
      <c r="C551" s="135" t="s">
        <v>515</v>
      </c>
      <c r="D551" s="202" t="s">
        <v>516</v>
      </c>
      <c r="E551" s="205" t="s">
        <v>538</v>
      </c>
      <c r="F551" s="205" t="s">
        <v>538</v>
      </c>
      <c r="G551" s="307">
        <v>0.15</v>
      </c>
      <c r="H551" s="140">
        <v>0.05</v>
      </c>
      <c r="I551" s="168">
        <v>1</v>
      </c>
      <c r="J551" s="206" t="s">
        <v>538</v>
      </c>
      <c r="K551" s="135" t="s">
        <v>536</v>
      </c>
      <c r="L551" s="135" t="s">
        <v>966</v>
      </c>
    </row>
    <row r="552" spans="1:12" ht="57.6" x14ac:dyDescent="0.3">
      <c r="A552" s="134">
        <v>37</v>
      </c>
      <c r="B552" s="134" t="s">
        <v>970</v>
      </c>
      <c r="C552" s="135" t="s">
        <v>515</v>
      </c>
      <c r="D552" s="202" t="s">
        <v>516</v>
      </c>
      <c r="E552" s="207" t="s">
        <v>539</v>
      </c>
      <c r="F552" s="207" t="s">
        <v>539</v>
      </c>
      <c r="G552" s="307"/>
      <c r="H552" s="212">
        <v>0.05</v>
      </c>
      <c r="I552" s="168">
        <v>1</v>
      </c>
      <c r="J552" s="209" t="s">
        <v>539</v>
      </c>
      <c r="K552" s="135" t="s">
        <v>536</v>
      </c>
      <c r="L552" s="135" t="s">
        <v>966</v>
      </c>
    </row>
    <row r="553" spans="1:12" ht="43.2" x14ac:dyDescent="0.3">
      <c r="A553" s="134">
        <v>37</v>
      </c>
      <c r="B553" s="134" t="s">
        <v>970</v>
      </c>
      <c r="C553" s="135" t="s">
        <v>515</v>
      </c>
      <c r="D553" s="202" t="s">
        <v>516</v>
      </c>
      <c r="E553" s="213" t="s">
        <v>540</v>
      </c>
      <c r="F553" s="213" t="s">
        <v>540</v>
      </c>
      <c r="G553" s="307"/>
      <c r="H553" s="183">
        <v>0.05</v>
      </c>
      <c r="I553" s="168">
        <v>1</v>
      </c>
      <c r="J553" s="199" t="s">
        <v>540</v>
      </c>
      <c r="K553" s="135" t="s">
        <v>541</v>
      </c>
      <c r="L553" s="135" t="s">
        <v>966</v>
      </c>
    </row>
    <row r="554" spans="1:12" ht="28.8" x14ac:dyDescent="0.3">
      <c r="A554" s="134">
        <v>37</v>
      </c>
      <c r="B554" s="134" t="s">
        <v>970</v>
      </c>
      <c r="C554" s="135" t="s">
        <v>515</v>
      </c>
      <c r="D554" s="202" t="s">
        <v>516</v>
      </c>
      <c r="E554" s="213" t="s">
        <v>542</v>
      </c>
      <c r="F554" s="213" t="s">
        <v>542</v>
      </c>
      <c r="G554" s="168">
        <v>0.05</v>
      </c>
      <c r="H554" s="140">
        <v>0.05</v>
      </c>
      <c r="I554" s="168">
        <v>1</v>
      </c>
      <c r="J554" s="199" t="s">
        <v>542</v>
      </c>
      <c r="K554" s="135" t="s">
        <v>541</v>
      </c>
      <c r="L554" s="135" t="s">
        <v>966</v>
      </c>
    </row>
    <row r="555" spans="1:12" ht="28.8" x14ac:dyDescent="0.3">
      <c r="A555" s="134">
        <v>37</v>
      </c>
      <c r="B555" s="134" t="s">
        <v>970</v>
      </c>
      <c r="C555" s="135" t="s">
        <v>515</v>
      </c>
      <c r="D555" s="202" t="s">
        <v>516</v>
      </c>
      <c r="E555" s="205" t="s">
        <v>543</v>
      </c>
      <c r="F555" s="205" t="s">
        <v>543</v>
      </c>
      <c r="G555" s="327">
        <v>0.15</v>
      </c>
      <c r="H555" s="140">
        <v>0.1</v>
      </c>
      <c r="I555" s="168">
        <v>1</v>
      </c>
      <c r="J555" s="206" t="s">
        <v>543</v>
      </c>
      <c r="K555" s="135" t="s">
        <v>536</v>
      </c>
      <c r="L555" s="135" t="s">
        <v>966</v>
      </c>
    </row>
    <row r="556" spans="1:12" ht="28.8" x14ac:dyDescent="0.3">
      <c r="A556" s="134">
        <v>37</v>
      </c>
      <c r="B556" s="134" t="s">
        <v>970</v>
      </c>
      <c r="C556" s="135" t="s">
        <v>515</v>
      </c>
      <c r="D556" s="202" t="s">
        <v>516</v>
      </c>
      <c r="E556" s="205" t="s">
        <v>544</v>
      </c>
      <c r="F556" s="205" t="s">
        <v>544</v>
      </c>
      <c r="G556" s="327"/>
      <c r="H556" s="140">
        <v>0.05</v>
      </c>
      <c r="I556" s="168">
        <v>1</v>
      </c>
      <c r="J556" s="206" t="s">
        <v>544</v>
      </c>
      <c r="K556" s="135" t="s">
        <v>536</v>
      </c>
      <c r="L556" s="135" t="s">
        <v>966</v>
      </c>
    </row>
    <row r="557" spans="1:12" ht="43.2" x14ac:dyDescent="0.3">
      <c r="A557" s="134">
        <v>37</v>
      </c>
      <c r="B557" s="134" t="s">
        <v>970</v>
      </c>
      <c r="C557" s="135" t="s">
        <v>515</v>
      </c>
      <c r="D557" s="202" t="s">
        <v>516</v>
      </c>
      <c r="E557" s="205" t="s">
        <v>545</v>
      </c>
      <c r="F557" s="205" t="s">
        <v>545</v>
      </c>
      <c r="G557" s="168">
        <v>0.05</v>
      </c>
      <c r="H557" s="183">
        <v>0.05</v>
      </c>
      <c r="I557" s="168">
        <v>1</v>
      </c>
      <c r="J557" s="206" t="s">
        <v>545</v>
      </c>
      <c r="K557" s="135" t="s">
        <v>546</v>
      </c>
      <c r="L557" s="135" t="s">
        <v>966</v>
      </c>
    </row>
    <row r="558" spans="1:12" x14ac:dyDescent="0.3">
      <c r="A558" s="193">
        <v>38</v>
      </c>
      <c r="B558" s="143" t="s">
        <v>974</v>
      </c>
      <c r="C558" s="144" t="s">
        <v>547</v>
      </c>
      <c r="D558" s="214" t="s">
        <v>548</v>
      </c>
      <c r="E558" s="215" t="s">
        <v>520</v>
      </c>
      <c r="F558" s="215" t="s">
        <v>520</v>
      </c>
      <c r="G558" s="311">
        <v>0.25</v>
      </c>
      <c r="H558" s="152">
        <v>0.05</v>
      </c>
      <c r="I558" s="173" t="s">
        <v>521</v>
      </c>
      <c r="J558" s="217" t="s">
        <v>520</v>
      </c>
      <c r="K558" s="144" t="s">
        <v>519</v>
      </c>
      <c r="L558" s="144" t="s">
        <v>515</v>
      </c>
    </row>
    <row r="559" spans="1:12" x14ac:dyDescent="0.3">
      <c r="A559" s="193">
        <v>38</v>
      </c>
      <c r="B559" s="143" t="s">
        <v>974</v>
      </c>
      <c r="C559" s="144" t="s">
        <v>547</v>
      </c>
      <c r="D559" s="214" t="s">
        <v>548</v>
      </c>
      <c r="E559" s="215" t="s">
        <v>522</v>
      </c>
      <c r="F559" s="215" t="s">
        <v>522</v>
      </c>
      <c r="G559" s="311"/>
      <c r="H559" s="152">
        <v>0.05</v>
      </c>
      <c r="I559" s="173" t="s">
        <v>523</v>
      </c>
      <c r="J559" s="217" t="s">
        <v>522</v>
      </c>
      <c r="K559" s="144" t="s">
        <v>519</v>
      </c>
      <c r="L559" s="144" t="s">
        <v>515</v>
      </c>
    </row>
    <row r="560" spans="1:12" x14ac:dyDescent="0.3">
      <c r="A560" s="193">
        <v>38</v>
      </c>
      <c r="B560" s="143" t="s">
        <v>974</v>
      </c>
      <c r="C560" s="144" t="s">
        <v>547</v>
      </c>
      <c r="D560" s="214" t="s">
        <v>548</v>
      </c>
      <c r="E560" s="218" t="s">
        <v>524</v>
      </c>
      <c r="F560" s="218" t="s">
        <v>524</v>
      </c>
      <c r="G560" s="311"/>
      <c r="H560" s="219">
        <v>0.05</v>
      </c>
      <c r="I560" s="173">
        <v>0.65</v>
      </c>
      <c r="J560" s="220" t="s">
        <v>524</v>
      </c>
      <c r="K560" s="144" t="s">
        <v>519</v>
      </c>
      <c r="L560" s="144" t="s">
        <v>515</v>
      </c>
    </row>
    <row r="561" spans="1:12" x14ac:dyDescent="0.3">
      <c r="A561" s="193">
        <v>38</v>
      </c>
      <c r="B561" s="143" t="s">
        <v>974</v>
      </c>
      <c r="C561" s="144" t="s">
        <v>547</v>
      </c>
      <c r="D561" s="214" t="s">
        <v>548</v>
      </c>
      <c r="E561" s="218" t="s">
        <v>525</v>
      </c>
      <c r="F561" s="218" t="s">
        <v>525</v>
      </c>
      <c r="G561" s="311"/>
      <c r="H561" s="219">
        <v>0.05</v>
      </c>
      <c r="I561" s="173">
        <v>0</v>
      </c>
      <c r="J561" s="220" t="s">
        <v>525</v>
      </c>
      <c r="K561" s="144" t="s">
        <v>519</v>
      </c>
      <c r="L561" s="144" t="s">
        <v>515</v>
      </c>
    </row>
    <row r="562" spans="1:12" ht="43.2" x14ac:dyDescent="0.3">
      <c r="A562" s="193">
        <v>38</v>
      </c>
      <c r="B562" s="143" t="s">
        <v>974</v>
      </c>
      <c r="C562" s="144" t="s">
        <v>547</v>
      </c>
      <c r="D562" s="214" t="s">
        <v>548</v>
      </c>
      <c r="E562" s="221" t="s">
        <v>526</v>
      </c>
      <c r="F562" s="221" t="s">
        <v>526</v>
      </c>
      <c r="G562" s="311"/>
      <c r="H562" s="222">
        <v>0.05</v>
      </c>
      <c r="I562" s="223" t="s">
        <v>527</v>
      </c>
      <c r="J562" s="224" t="s">
        <v>528</v>
      </c>
      <c r="K562" s="144" t="s">
        <v>529</v>
      </c>
      <c r="L562" s="144" t="s">
        <v>515</v>
      </c>
    </row>
    <row r="563" spans="1:12" ht="57.6" x14ac:dyDescent="0.3">
      <c r="A563" s="193">
        <v>38</v>
      </c>
      <c r="B563" s="143" t="s">
        <v>974</v>
      </c>
      <c r="C563" s="144" t="s">
        <v>547</v>
      </c>
      <c r="D563" s="214" t="s">
        <v>548</v>
      </c>
      <c r="E563" s="215" t="s">
        <v>530</v>
      </c>
      <c r="F563" s="215" t="s">
        <v>530</v>
      </c>
      <c r="G563" s="216">
        <v>0.1</v>
      </c>
      <c r="H563" s="216">
        <v>0.1</v>
      </c>
      <c r="I563" s="173">
        <v>1</v>
      </c>
      <c r="J563" s="217" t="s">
        <v>530</v>
      </c>
      <c r="K563" s="144" t="s">
        <v>529</v>
      </c>
      <c r="L563" s="144" t="s">
        <v>515</v>
      </c>
    </row>
    <row r="564" spans="1:12" x14ac:dyDescent="0.3">
      <c r="A564" s="193">
        <v>38</v>
      </c>
      <c r="B564" s="143" t="s">
        <v>974</v>
      </c>
      <c r="C564" s="144" t="s">
        <v>547</v>
      </c>
      <c r="D564" s="214" t="s">
        <v>548</v>
      </c>
      <c r="E564" s="215" t="s">
        <v>549</v>
      </c>
      <c r="F564" s="215" t="s">
        <v>549</v>
      </c>
      <c r="G564" s="179">
        <v>0.1</v>
      </c>
      <c r="H564" s="152">
        <v>0.1</v>
      </c>
      <c r="I564" s="173" t="s">
        <v>532</v>
      </c>
      <c r="J564" s="217" t="s">
        <v>549</v>
      </c>
      <c r="K564" s="225" t="s">
        <v>533</v>
      </c>
      <c r="L564" s="225" t="s">
        <v>515</v>
      </c>
    </row>
    <row r="565" spans="1:12" ht="28.8" x14ac:dyDescent="0.3">
      <c r="A565" s="193">
        <v>38</v>
      </c>
      <c r="B565" s="143" t="s">
        <v>974</v>
      </c>
      <c r="C565" s="144" t="s">
        <v>547</v>
      </c>
      <c r="D565" s="214" t="s">
        <v>548</v>
      </c>
      <c r="E565" s="215" t="s">
        <v>538</v>
      </c>
      <c r="F565" s="215" t="s">
        <v>538</v>
      </c>
      <c r="G565" s="179">
        <v>0.15</v>
      </c>
      <c r="H565" s="152">
        <v>0.15</v>
      </c>
      <c r="I565" s="173">
        <v>1</v>
      </c>
      <c r="J565" s="217" t="s">
        <v>538</v>
      </c>
      <c r="K565" s="144" t="s">
        <v>536</v>
      </c>
      <c r="L565" s="144" t="s">
        <v>515</v>
      </c>
    </row>
    <row r="566" spans="1:12" ht="57.6" x14ac:dyDescent="0.3">
      <c r="A566" s="193">
        <v>38</v>
      </c>
      <c r="B566" s="143" t="s">
        <v>974</v>
      </c>
      <c r="C566" s="144" t="s">
        <v>547</v>
      </c>
      <c r="D566" s="214" t="s">
        <v>548</v>
      </c>
      <c r="E566" s="218" t="s">
        <v>539</v>
      </c>
      <c r="F566" s="218" t="s">
        <v>539</v>
      </c>
      <c r="G566" s="179">
        <v>0.15</v>
      </c>
      <c r="H566" s="152">
        <v>0.15</v>
      </c>
      <c r="I566" s="173">
        <v>1</v>
      </c>
      <c r="J566" s="220" t="s">
        <v>539</v>
      </c>
      <c r="K566" s="144" t="s">
        <v>536</v>
      </c>
      <c r="L566" s="144" t="s">
        <v>515</v>
      </c>
    </row>
    <row r="567" spans="1:12" ht="43.2" x14ac:dyDescent="0.3">
      <c r="A567" s="193">
        <v>38</v>
      </c>
      <c r="B567" s="143" t="s">
        <v>974</v>
      </c>
      <c r="C567" s="144" t="s">
        <v>547</v>
      </c>
      <c r="D567" s="214" t="s">
        <v>548</v>
      </c>
      <c r="E567" s="226" t="s">
        <v>540</v>
      </c>
      <c r="F567" s="226" t="s">
        <v>540</v>
      </c>
      <c r="G567" s="179">
        <v>0.15</v>
      </c>
      <c r="H567" s="152">
        <v>0.15</v>
      </c>
      <c r="I567" s="173">
        <v>1</v>
      </c>
      <c r="J567" s="159" t="s">
        <v>540</v>
      </c>
      <c r="K567" s="144" t="s">
        <v>541</v>
      </c>
      <c r="L567" s="144" t="s">
        <v>515</v>
      </c>
    </row>
    <row r="568" spans="1:12" ht="28.8" x14ac:dyDescent="0.3">
      <c r="A568" s="193">
        <v>38</v>
      </c>
      <c r="B568" s="143" t="s">
        <v>974</v>
      </c>
      <c r="C568" s="144" t="s">
        <v>547</v>
      </c>
      <c r="D568" s="214" t="s">
        <v>548</v>
      </c>
      <c r="E568" s="226" t="s">
        <v>542</v>
      </c>
      <c r="F568" s="226" t="s">
        <v>542</v>
      </c>
      <c r="G568" s="179">
        <v>0.1</v>
      </c>
      <c r="H568" s="152">
        <v>0.1</v>
      </c>
      <c r="I568" s="173">
        <v>1</v>
      </c>
      <c r="J568" s="159" t="s">
        <v>542</v>
      </c>
      <c r="K568" s="144" t="s">
        <v>541</v>
      </c>
      <c r="L568" s="144" t="s">
        <v>515</v>
      </c>
    </row>
    <row r="569" spans="1:12" x14ac:dyDescent="0.3">
      <c r="A569" s="175">
        <v>39</v>
      </c>
      <c r="B569" s="134" t="s">
        <v>980</v>
      </c>
      <c r="C569" s="135" t="s">
        <v>550</v>
      </c>
      <c r="D569" s="227" t="s">
        <v>551</v>
      </c>
      <c r="E569" s="205" t="s">
        <v>520</v>
      </c>
      <c r="F569" s="205" t="s">
        <v>520</v>
      </c>
      <c r="G569" s="307">
        <v>0.25</v>
      </c>
      <c r="H569" s="140">
        <v>0.05</v>
      </c>
      <c r="I569" s="168" t="s">
        <v>521</v>
      </c>
      <c r="J569" s="206" t="s">
        <v>520</v>
      </c>
      <c r="K569" s="135" t="s">
        <v>519</v>
      </c>
      <c r="L569" s="135" t="s">
        <v>515</v>
      </c>
    </row>
    <row r="570" spans="1:12" x14ac:dyDescent="0.3">
      <c r="A570" s="175">
        <v>39</v>
      </c>
      <c r="B570" s="134" t="s">
        <v>980</v>
      </c>
      <c r="C570" s="135" t="s">
        <v>550</v>
      </c>
      <c r="D570" s="227" t="s">
        <v>551</v>
      </c>
      <c r="E570" s="205" t="s">
        <v>522</v>
      </c>
      <c r="F570" s="205" t="s">
        <v>522</v>
      </c>
      <c r="G570" s="307"/>
      <c r="H570" s="140">
        <v>0.05</v>
      </c>
      <c r="I570" s="168" t="s">
        <v>523</v>
      </c>
      <c r="J570" s="206" t="s">
        <v>522</v>
      </c>
      <c r="K570" s="135" t="s">
        <v>519</v>
      </c>
      <c r="L570" s="135" t="s">
        <v>515</v>
      </c>
    </row>
    <row r="571" spans="1:12" x14ac:dyDescent="0.3">
      <c r="A571" s="175">
        <v>39</v>
      </c>
      <c r="B571" s="134" t="s">
        <v>980</v>
      </c>
      <c r="C571" s="135" t="s">
        <v>550</v>
      </c>
      <c r="D571" s="227" t="s">
        <v>551</v>
      </c>
      <c r="E571" s="207" t="s">
        <v>524</v>
      </c>
      <c r="F571" s="207" t="s">
        <v>524</v>
      </c>
      <c r="G571" s="307"/>
      <c r="H571" s="208">
        <v>0.05</v>
      </c>
      <c r="I571" s="168">
        <v>0.65</v>
      </c>
      <c r="J571" s="209" t="s">
        <v>524</v>
      </c>
      <c r="K571" s="135" t="s">
        <v>519</v>
      </c>
      <c r="L571" s="135" t="s">
        <v>515</v>
      </c>
    </row>
    <row r="572" spans="1:12" x14ac:dyDescent="0.3">
      <c r="A572" s="175">
        <v>39</v>
      </c>
      <c r="B572" s="134" t="s">
        <v>980</v>
      </c>
      <c r="C572" s="135" t="s">
        <v>550</v>
      </c>
      <c r="D572" s="227" t="s">
        <v>551</v>
      </c>
      <c r="E572" s="207" t="s">
        <v>525</v>
      </c>
      <c r="F572" s="207" t="s">
        <v>525</v>
      </c>
      <c r="G572" s="307"/>
      <c r="H572" s="208">
        <v>0.05</v>
      </c>
      <c r="I572" s="168">
        <v>0</v>
      </c>
      <c r="J572" s="209" t="s">
        <v>525</v>
      </c>
      <c r="K572" s="135" t="s">
        <v>519</v>
      </c>
      <c r="L572" s="135" t="s">
        <v>515</v>
      </c>
    </row>
    <row r="573" spans="1:12" ht="43.2" x14ac:dyDescent="0.3">
      <c r="A573" s="175">
        <v>39</v>
      </c>
      <c r="B573" s="134" t="s">
        <v>980</v>
      </c>
      <c r="C573" s="135" t="s">
        <v>550</v>
      </c>
      <c r="D573" s="227" t="s">
        <v>551</v>
      </c>
      <c r="E573" s="203" t="s">
        <v>552</v>
      </c>
      <c r="F573" s="203" t="s">
        <v>552</v>
      </c>
      <c r="G573" s="307"/>
      <c r="H573" s="183">
        <v>0.05</v>
      </c>
      <c r="I573" s="210" t="s">
        <v>527</v>
      </c>
      <c r="J573" s="204" t="s">
        <v>553</v>
      </c>
      <c r="K573" s="135" t="s">
        <v>529</v>
      </c>
      <c r="L573" s="135" t="s">
        <v>515</v>
      </c>
    </row>
    <row r="574" spans="1:12" ht="57.6" x14ac:dyDescent="0.3">
      <c r="A574" s="175">
        <v>39</v>
      </c>
      <c r="B574" s="134" t="s">
        <v>980</v>
      </c>
      <c r="C574" s="135" t="s">
        <v>550</v>
      </c>
      <c r="D574" s="227" t="s">
        <v>551</v>
      </c>
      <c r="E574" s="205" t="s">
        <v>530</v>
      </c>
      <c r="F574" s="205" t="s">
        <v>530</v>
      </c>
      <c r="G574" s="162">
        <v>0.1</v>
      </c>
      <c r="H574" s="162">
        <v>0.1</v>
      </c>
      <c r="I574" s="168">
        <v>1</v>
      </c>
      <c r="J574" s="206" t="s">
        <v>554</v>
      </c>
      <c r="K574" s="135" t="s">
        <v>529</v>
      </c>
      <c r="L574" s="135" t="s">
        <v>515</v>
      </c>
    </row>
    <row r="575" spans="1:12" x14ac:dyDescent="0.3">
      <c r="A575" s="175">
        <v>39</v>
      </c>
      <c r="B575" s="134" t="s">
        <v>980</v>
      </c>
      <c r="C575" s="135" t="s">
        <v>550</v>
      </c>
      <c r="D575" s="227" t="s">
        <v>551</v>
      </c>
      <c r="E575" s="205" t="s">
        <v>549</v>
      </c>
      <c r="F575" s="205" t="s">
        <v>549</v>
      </c>
      <c r="G575" s="138">
        <v>0.15</v>
      </c>
      <c r="H575" s="140">
        <v>0.15</v>
      </c>
      <c r="I575" s="168" t="s">
        <v>532</v>
      </c>
      <c r="J575" s="206" t="s">
        <v>549</v>
      </c>
      <c r="K575" s="211" t="s">
        <v>533</v>
      </c>
      <c r="L575" s="211" t="s">
        <v>515</v>
      </c>
    </row>
    <row r="576" spans="1:12" ht="28.8" x14ac:dyDescent="0.3">
      <c r="A576" s="175">
        <v>39</v>
      </c>
      <c r="B576" s="134" t="s">
        <v>980</v>
      </c>
      <c r="C576" s="135" t="s">
        <v>550</v>
      </c>
      <c r="D576" s="227" t="s">
        <v>551</v>
      </c>
      <c r="E576" s="205" t="s">
        <v>510</v>
      </c>
      <c r="F576" s="205" t="s">
        <v>510</v>
      </c>
      <c r="G576" s="138">
        <v>0.15</v>
      </c>
      <c r="H576" s="140">
        <v>0.15</v>
      </c>
      <c r="I576" s="168">
        <v>1</v>
      </c>
      <c r="J576" s="206" t="s">
        <v>510</v>
      </c>
      <c r="K576" s="135" t="s">
        <v>536</v>
      </c>
      <c r="L576" s="135" t="s">
        <v>515</v>
      </c>
    </row>
    <row r="577" spans="1:12" ht="28.8" x14ac:dyDescent="0.3">
      <c r="A577" s="175">
        <v>39</v>
      </c>
      <c r="B577" s="134" t="s">
        <v>980</v>
      </c>
      <c r="C577" s="135" t="s">
        <v>550</v>
      </c>
      <c r="D577" s="227" t="s">
        <v>551</v>
      </c>
      <c r="E577" s="207" t="s">
        <v>537</v>
      </c>
      <c r="F577" s="207" t="s">
        <v>537</v>
      </c>
      <c r="G577" s="138">
        <v>0.1</v>
      </c>
      <c r="H577" s="140">
        <v>0.1</v>
      </c>
      <c r="I577" s="168">
        <v>1</v>
      </c>
      <c r="J577" s="209" t="s">
        <v>537</v>
      </c>
      <c r="K577" s="135" t="s">
        <v>536</v>
      </c>
      <c r="L577" s="135" t="s">
        <v>515</v>
      </c>
    </row>
    <row r="578" spans="1:12" ht="28.8" x14ac:dyDescent="0.3">
      <c r="A578" s="175">
        <v>39</v>
      </c>
      <c r="B578" s="134" t="s">
        <v>980</v>
      </c>
      <c r="C578" s="135" t="s">
        <v>550</v>
      </c>
      <c r="D578" s="227" t="s">
        <v>551</v>
      </c>
      <c r="E578" s="205" t="s">
        <v>512</v>
      </c>
      <c r="F578" s="205" t="s">
        <v>512</v>
      </c>
      <c r="G578" s="228">
        <v>0.1</v>
      </c>
      <c r="H578" s="228">
        <v>0.1</v>
      </c>
      <c r="I578" s="168">
        <v>1</v>
      </c>
      <c r="J578" s="206" t="s">
        <v>512</v>
      </c>
      <c r="K578" s="135" t="s">
        <v>536</v>
      </c>
      <c r="L578" s="135" t="s">
        <v>515</v>
      </c>
    </row>
    <row r="579" spans="1:12" ht="57.6" x14ac:dyDescent="0.3">
      <c r="A579" s="175">
        <v>39</v>
      </c>
      <c r="B579" s="134" t="s">
        <v>980</v>
      </c>
      <c r="C579" s="135" t="s">
        <v>550</v>
      </c>
      <c r="D579" s="227" t="s">
        <v>551</v>
      </c>
      <c r="E579" s="207" t="s">
        <v>539</v>
      </c>
      <c r="F579" s="207" t="s">
        <v>539</v>
      </c>
      <c r="G579" s="138">
        <v>0.15</v>
      </c>
      <c r="H579" s="140">
        <v>0.15</v>
      </c>
      <c r="I579" s="168">
        <v>1</v>
      </c>
      <c r="J579" s="209" t="s">
        <v>555</v>
      </c>
      <c r="K579" s="135" t="s">
        <v>536</v>
      </c>
      <c r="L579" s="135" t="s">
        <v>515</v>
      </c>
    </row>
    <row r="580" spans="1:12" x14ac:dyDescent="0.3">
      <c r="A580" s="193">
        <v>40</v>
      </c>
      <c r="B580" s="143" t="s">
        <v>1038</v>
      </c>
      <c r="C580" s="159" t="s">
        <v>556</v>
      </c>
      <c r="D580" s="229" t="s">
        <v>557</v>
      </c>
      <c r="E580" s="215" t="s">
        <v>520</v>
      </c>
      <c r="F580" s="215" t="s">
        <v>520</v>
      </c>
      <c r="G580" s="230">
        <v>0.1</v>
      </c>
      <c r="H580" s="152">
        <v>0.1</v>
      </c>
      <c r="I580" s="173" t="s">
        <v>521</v>
      </c>
      <c r="J580" s="217" t="s">
        <v>520</v>
      </c>
      <c r="K580" s="144" t="s">
        <v>519</v>
      </c>
      <c r="L580" s="144" t="s">
        <v>547</v>
      </c>
    </row>
    <row r="581" spans="1:12" x14ac:dyDescent="0.3">
      <c r="A581" s="193">
        <v>40</v>
      </c>
      <c r="B581" s="143" t="s">
        <v>1038</v>
      </c>
      <c r="C581" s="159" t="s">
        <v>556</v>
      </c>
      <c r="D581" s="229" t="s">
        <v>557</v>
      </c>
      <c r="E581" s="215" t="s">
        <v>522</v>
      </c>
      <c r="F581" s="215" t="s">
        <v>522</v>
      </c>
      <c r="G581" s="230">
        <v>0.1</v>
      </c>
      <c r="H581" s="152">
        <v>0.1</v>
      </c>
      <c r="I581" s="173" t="s">
        <v>523</v>
      </c>
      <c r="J581" s="217" t="s">
        <v>522</v>
      </c>
      <c r="K581" s="144" t="s">
        <v>519</v>
      </c>
      <c r="L581" s="144" t="s">
        <v>547</v>
      </c>
    </row>
    <row r="582" spans="1:12" x14ac:dyDescent="0.3">
      <c r="A582" s="193">
        <v>40</v>
      </c>
      <c r="B582" s="143" t="s">
        <v>1038</v>
      </c>
      <c r="C582" s="159" t="s">
        <v>556</v>
      </c>
      <c r="D582" s="229" t="s">
        <v>557</v>
      </c>
      <c r="E582" s="218" t="s">
        <v>524</v>
      </c>
      <c r="F582" s="218" t="s">
        <v>524</v>
      </c>
      <c r="G582" s="231">
        <v>0.1</v>
      </c>
      <c r="H582" s="219">
        <v>0.1</v>
      </c>
      <c r="I582" s="173">
        <v>0.65</v>
      </c>
      <c r="J582" s="220" t="s">
        <v>524</v>
      </c>
      <c r="K582" s="144" t="s">
        <v>519</v>
      </c>
      <c r="L582" s="144" t="s">
        <v>547</v>
      </c>
    </row>
    <row r="583" spans="1:12" x14ac:dyDescent="0.3">
      <c r="A583" s="193">
        <v>40</v>
      </c>
      <c r="B583" s="143" t="s">
        <v>1038</v>
      </c>
      <c r="C583" s="159" t="s">
        <v>556</v>
      </c>
      <c r="D583" s="229" t="s">
        <v>557</v>
      </c>
      <c r="E583" s="215" t="s">
        <v>549</v>
      </c>
      <c r="F583" s="215" t="s">
        <v>549</v>
      </c>
      <c r="G583" s="152">
        <v>0.1</v>
      </c>
      <c r="H583" s="152">
        <v>0.1</v>
      </c>
      <c r="I583" s="173" t="s">
        <v>532</v>
      </c>
      <c r="J583" s="217" t="s">
        <v>549</v>
      </c>
      <c r="K583" s="225" t="s">
        <v>533</v>
      </c>
      <c r="L583" s="225" t="s">
        <v>547</v>
      </c>
    </row>
    <row r="584" spans="1:12" ht="28.8" x14ac:dyDescent="0.3">
      <c r="A584" s="193">
        <v>40</v>
      </c>
      <c r="B584" s="143" t="s">
        <v>1038</v>
      </c>
      <c r="C584" s="159" t="s">
        <v>556</v>
      </c>
      <c r="D584" s="229" t="s">
        <v>557</v>
      </c>
      <c r="E584" s="215" t="s">
        <v>558</v>
      </c>
      <c r="F584" s="215" t="s">
        <v>558</v>
      </c>
      <c r="G584" s="152">
        <v>0.1</v>
      </c>
      <c r="H584" s="152">
        <v>0.1</v>
      </c>
      <c r="I584" s="173">
        <v>1</v>
      </c>
      <c r="J584" s="217" t="s">
        <v>558</v>
      </c>
      <c r="K584" s="144" t="s">
        <v>536</v>
      </c>
      <c r="L584" s="144" t="s">
        <v>547</v>
      </c>
    </row>
    <row r="585" spans="1:12" ht="28.8" x14ac:dyDescent="0.3">
      <c r="A585" s="193">
        <v>40</v>
      </c>
      <c r="B585" s="143" t="s">
        <v>1038</v>
      </c>
      <c r="C585" s="159" t="s">
        <v>556</v>
      </c>
      <c r="D585" s="229" t="s">
        <v>557</v>
      </c>
      <c r="E585" s="218" t="s">
        <v>537</v>
      </c>
      <c r="F585" s="218" t="s">
        <v>537</v>
      </c>
      <c r="G585" s="152">
        <v>0.05</v>
      </c>
      <c r="H585" s="152">
        <v>0.05</v>
      </c>
      <c r="I585" s="173">
        <v>1</v>
      </c>
      <c r="J585" s="220" t="s">
        <v>537</v>
      </c>
      <c r="K585" s="144" t="s">
        <v>536</v>
      </c>
      <c r="L585" s="144" t="s">
        <v>547</v>
      </c>
    </row>
    <row r="586" spans="1:12" ht="28.8" x14ac:dyDescent="0.3">
      <c r="A586" s="193">
        <v>40</v>
      </c>
      <c r="B586" s="143" t="s">
        <v>1038</v>
      </c>
      <c r="C586" s="159" t="s">
        <v>556</v>
      </c>
      <c r="D586" s="229" t="s">
        <v>557</v>
      </c>
      <c r="E586" s="215" t="s">
        <v>512</v>
      </c>
      <c r="F586" s="215" t="s">
        <v>512</v>
      </c>
      <c r="G586" s="152">
        <v>0.1</v>
      </c>
      <c r="H586" s="152">
        <v>0.1</v>
      </c>
      <c r="I586" s="173">
        <v>1</v>
      </c>
      <c r="J586" s="217" t="s">
        <v>512</v>
      </c>
      <c r="K586" s="144" t="s">
        <v>536</v>
      </c>
      <c r="L586" s="144" t="s">
        <v>547</v>
      </c>
    </row>
    <row r="587" spans="1:12" ht="28.8" x14ac:dyDescent="0.3">
      <c r="A587" s="193">
        <v>40</v>
      </c>
      <c r="B587" s="143" t="s">
        <v>1038</v>
      </c>
      <c r="C587" s="159" t="s">
        <v>556</v>
      </c>
      <c r="D587" s="229" t="s">
        <v>557</v>
      </c>
      <c r="E587" s="215" t="s">
        <v>538</v>
      </c>
      <c r="F587" s="215" t="s">
        <v>538</v>
      </c>
      <c r="G587" s="152">
        <v>0.1</v>
      </c>
      <c r="H587" s="152">
        <v>0.1</v>
      </c>
      <c r="I587" s="173"/>
      <c r="J587" s="217" t="s">
        <v>538</v>
      </c>
      <c r="K587" s="144" t="s">
        <v>536</v>
      </c>
      <c r="L587" s="144" t="s">
        <v>547</v>
      </c>
    </row>
    <row r="588" spans="1:12" ht="43.2" x14ac:dyDescent="0.3">
      <c r="A588" s="193">
        <v>40</v>
      </c>
      <c r="B588" s="143" t="s">
        <v>1038</v>
      </c>
      <c r="C588" s="159" t="s">
        <v>556</v>
      </c>
      <c r="D588" s="229" t="s">
        <v>557</v>
      </c>
      <c r="E588" s="226" t="s">
        <v>540</v>
      </c>
      <c r="F588" s="226" t="s">
        <v>540</v>
      </c>
      <c r="G588" s="152">
        <v>0.15</v>
      </c>
      <c r="H588" s="152">
        <v>0.15</v>
      </c>
      <c r="I588" s="173">
        <v>1</v>
      </c>
      <c r="J588" s="159" t="s">
        <v>540</v>
      </c>
      <c r="K588" s="144" t="s">
        <v>541</v>
      </c>
      <c r="L588" s="144" t="s">
        <v>547</v>
      </c>
    </row>
    <row r="589" spans="1:12" ht="28.8" x14ac:dyDescent="0.3">
      <c r="A589" s="193">
        <v>40</v>
      </c>
      <c r="B589" s="143" t="s">
        <v>1038</v>
      </c>
      <c r="C589" s="159" t="s">
        <v>556</v>
      </c>
      <c r="D589" s="229" t="s">
        <v>557</v>
      </c>
      <c r="E589" s="226" t="s">
        <v>542</v>
      </c>
      <c r="F589" s="226" t="s">
        <v>542</v>
      </c>
      <c r="G589" s="152">
        <v>0.1</v>
      </c>
      <c r="H589" s="152">
        <v>0.1</v>
      </c>
      <c r="I589" s="173">
        <v>1</v>
      </c>
      <c r="J589" s="159" t="s">
        <v>559</v>
      </c>
      <c r="K589" s="144" t="s">
        <v>541</v>
      </c>
      <c r="L589" s="144" t="s">
        <v>547</v>
      </c>
    </row>
    <row r="590" spans="1:12" x14ac:dyDescent="0.3">
      <c r="A590" s="134">
        <v>41</v>
      </c>
      <c r="B590" s="134" t="s">
        <v>986</v>
      </c>
      <c r="C590" s="135" t="s">
        <v>560</v>
      </c>
      <c r="D590" s="202" t="s">
        <v>561</v>
      </c>
      <c r="E590" s="205" t="s">
        <v>531</v>
      </c>
      <c r="F590" s="205" t="s">
        <v>531</v>
      </c>
      <c r="G590" s="232">
        <v>0.2</v>
      </c>
      <c r="H590" s="232">
        <v>0.2</v>
      </c>
      <c r="I590" s="168" t="s">
        <v>532</v>
      </c>
      <c r="J590" s="206" t="s">
        <v>531</v>
      </c>
      <c r="K590" s="211" t="s">
        <v>533</v>
      </c>
      <c r="L590" s="211" t="s">
        <v>515</v>
      </c>
    </row>
    <row r="591" spans="1:12" ht="28.8" x14ac:dyDescent="0.3">
      <c r="A591" s="134">
        <v>41</v>
      </c>
      <c r="B591" s="134" t="s">
        <v>986</v>
      </c>
      <c r="C591" s="135" t="s">
        <v>560</v>
      </c>
      <c r="D591" s="202" t="s">
        <v>561</v>
      </c>
      <c r="E591" s="205" t="s">
        <v>562</v>
      </c>
      <c r="F591" s="205" t="s">
        <v>562</v>
      </c>
      <c r="G591" s="232">
        <v>0.25</v>
      </c>
      <c r="H591" s="232">
        <v>0.25</v>
      </c>
      <c r="I591" s="168"/>
      <c r="J591" s="206" t="s">
        <v>562</v>
      </c>
      <c r="K591" s="211" t="s">
        <v>533</v>
      </c>
      <c r="L591" s="211" t="s">
        <v>515</v>
      </c>
    </row>
    <row r="592" spans="1:12" ht="28.8" x14ac:dyDescent="0.3">
      <c r="A592" s="134">
        <v>41</v>
      </c>
      <c r="B592" s="134" t="s">
        <v>986</v>
      </c>
      <c r="C592" s="135" t="s">
        <v>560</v>
      </c>
      <c r="D592" s="202" t="s">
        <v>561</v>
      </c>
      <c r="E592" s="205" t="s">
        <v>563</v>
      </c>
      <c r="F592" s="205" t="s">
        <v>563</v>
      </c>
      <c r="G592" s="232">
        <v>0.15</v>
      </c>
      <c r="H592" s="232">
        <v>0.15</v>
      </c>
      <c r="I592" s="168">
        <v>1</v>
      </c>
      <c r="J592" s="206" t="s">
        <v>563</v>
      </c>
      <c r="K592" s="135" t="s">
        <v>536</v>
      </c>
      <c r="L592" s="135" t="s">
        <v>515</v>
      </c>
    </row>
    <row r="593" spans="1:12" ht="28.8" x14ac:dyDescent="0.3">
      <c r="A593" s="134">
        <v>41</v>
      </c>
      <c r="B593" s="134" t="s">
        <v>986</v>
      </c>
      <c r="C593" s="135" t="s">
        <v>560</v>
      </c>
      <c r="D593" s="202" t="s">
        <v>561</v>
      </c>
      <c r="E593" s="205" t="s">
        <v>544</v>
      </c>
      <c r="F593" s="205" t="s">
        <v>544</v>
      </c>
      <c r="G593" s="232">
        <v>0.15</v>
      </c>
      <c r="H593" s="232">
        <v>0.15</v>
      </c>
      <c r="I593" s="168">
        <v>1</v>
      </c>
      <c r="J593" s="206" t="s">
        <v>544</v>
      </c>
      <c r="K593" s="135" t="s">
        <v>536</v>
      </c>
      <c r="L593" s="135" t="s">
        <v>515</v>
      </c>
    </row>
    <row r="594" spans="1:12" x14ac:dyDescent="0.3">
      <c r="A594" s="134">
        <v>41</v>
      </c>
      <c r="B594" s="134" t="s">
        <v>986</v>
      </c>
      <c r="C594" s="135" t="s">
        <v>560</v>
      </c>
      <c r="D594" s="202" t="s">
        <v>561</v>
      </c>
      <c r="E594" s="205" t="s">
        <v>564</v>
      </c>
      <c r="F594" s="205" t="s">
        <v>564</v>
      </c>
      <c r="G594" s="232">
        <v>0.25</v>
      </c>
      <c r="H594" s="232">
        <v>0.25</v>
      </c>
      <c r="I594" s="168"/>
      <c r="J594" s="206" t="s">
        <v>564</v>
      </c>
      <c r="K594" s="135" t="s">
        <v>536</v>
      </c>
      <c r="L594" s="135" t="s">
        <v>515</v>
      </c>
    </row>
    <row r="595" spans="1:12" x14ac:dyDescent="0.3">
      <c r="A595" s="143">
        <v>42</v>
      </c>
      <c r="B595" s="143" t="s">
        <v>1009</v>
      </c>
      <c r="C595" s="144" t="s">
        <v>565</v>
      </c>
      <c r="D595" s="214" t="s">
        <v>566</v>
      </c>
      <c r="E595" s="218" t="s">
        <v>525</v>
      </c>
      <c r="F595" s="218" t="s">
        <v>525</v>
      </c>
      <c r="G595" s="179">
        <v>0.2</v>
      </c>
      <c r="H595" s="179">
        <v>0.2</v>
      </c>
      <c r="I595" s="173"/>
      <c r="J595" s="220" t="s">
        <v>525</v>
      </c>
      <c r="K595" s="144" t="s">
        <v>519</v>
      </c>
      <c r="L595" s="144" t="s">
        <v>547</v>
      </c>
    </row>
    <row r="596" spans="1:12" ht="28.8" x14ac:dyDescent="0.3">
      <c r="A596" s="143">
        <v>42</v>
      </c>
      <c r="B596" s="143" t="s">
        <v>1009</v>
      </c>
      <c r="C596" s="144" t="s">
        <v>565</v>
      </c>
      <c r="D596" s="214" t="s">
        <v>566</v>
      </c>
      <c r="E596" s="215" t="s">
        <v>538</v>
      </c>
      <c r="F596" s="215" t="s">
        <v>538</v>
      </c>
      <c r="G596" s="179">
        <v>0.1</v>
      </c>
      <c r="H596" s="179">
        <v>0.1</v>
      </c>
      <c r="I596" s="173"/>
      <c r="J596" s="217" t="s">
        <v>538</v>
      </c>
      <c r="K596" s="144" t="s">
        <v>536</v>
      </c>
      <c r="L596" s="144" t="s">
        <v>547</v>
      </c>
    </row>
    <row r="597" spans="1:12" ht="57.6" x14ac:dyDescent="0.3">
      <c r="A597" s="143">
        <v>42</v>
      </c>
      <c r="B597" s="143" t="s">
        <v>1009</v>
      </c>
      <c r="C597" s="144" t="s">
        <v>565</v>
      </c>
      <c r="D597" s="214" t="s">
        <v>566</v>
      </c>
      <c r="E597" s="218" t="s">
        <v>539</v>
      </c>
      <c r="F597" s="218" t="s">
        <v>539</v>
      </c>
      <c r="G597" s="179">
        <v>0.2</v>
      </c>
      <c r="H597" s="179">
        <v>0.2</v>
      </c>
      <c r="I597" s="173"/>
      <c r="J597" s="220" t="s">
        <v>539</v>
      </c>
      <c r="K597" s="144" t="s">
        <v>536</v>
      </c>
      <c r="L597" s="144" t="s">
        <v>547</v>
      </c>
    </row>
    <row r="598" spans="1:12" ht="43.2" x14ac:dyDescent="0.3">
      <c r="A598" s="143">
        <v>42</v>
      </c>
      <c r="B598" s="143" t="s">
        <v>1009</v>
      </c>
      <c r="C598" s="144" t="s">
        <v>565</v>
      </c>
      <c r="D598" s="214" t="s">
        <v>566</v>
      </c>
      <c r="E598" s="218" t="s">
        <v>567</v>
      </c>
      <c r="F598" s="218" t="s">
        <v>567</v>
      </c>
      <c r="G598" s="179">
        <v>0.15</v>
      </c>
      <c r="H598" s="179">
        <v>0.15</v>
      </c>
      <c r="I598" s="173"/>
      <c r="J598" s="220" t="s">
        <v>567</v>
      </c>
      <c r="K598" s="144" t="s">
        <v>536</v>
      </c>
      <c r="L598" s="144" t="s">
        <v>547</v>
      </c>
    </row>
    <row r="599" spans="1:12" ht="43.2" x14ac:dyDescent="0.3">
      <c r="A599" s="143">
        <v>42</v>
      </c>
      <c r="B599" s="143" t="s">
        <v>1009</v>
      </c>
      <c r="C599" s="144" t="s">
        <v>565</v>
      </c>
      <c r="D599" s="214" t="s">
        <v>566</v>
      </c>
      <c r="E599" s="218" t="s">
        <v>568</v>
      </c>
      <c r="F599" s="218" t="s">
        <v>568</v>
      </c>
      <c r="G599" s="179">
        <v>0.15</v>
      </c>
      <c r="H599" s="179">
        <v>0.15</v>
      </c>
      <c r="I599" s="173"/>
      <c r="J599" s="220" t="s">
        <v>568</v>
      </c>
      <c r="K599" s="144" t="s">
        <v>536</v>
      </c>
      <c r="L599" s="144" t="s">
        <v>547</v>
      </c>
    </row>
    <row r="600" spans="1:12" ht="28.8" x14ac:dyDescent="0.3">
      <c r="A600" s="143">
        <v>42</v>
      </c>
      <c r="B600" s="143" t="s">
        <v>1009</v>
      </c>
      <c r="C600" s="144" t="s">
        <v>565</v>
      </c>
      <c r="D600" s="214" t="s">
        <v>566</v>
      </c>
      <c r="E600" s="218" t="s">
        <v>569</v>
      </c>
      <c r="F600" s="218" t="s">
        <v>569</v>
      </c>
      <c r="G600" s="179">
        <v>0.05</v>
      </c>
      <c r="H600" s="179">
        <v>0.05</v>
      </c>
      <c r="I600" s="173"/>
      <c r="J600" s="220" t="s">
        <v>569</v>
      </c>
      <c r="K600" s="144" t="s">
        <v>536</v>
      </c>
      <c r="L600" s="144" t="s">
        <v>547</v>
      </c>
    </row>
    <row r="601" spans="1:12" ht="43.2" x14ac:dyDescent="0.3">
      <c r="A601" s="143">
        <v>42</v>
      </c>
      <c r="B601" s="143" t="s">
        <v>1009</v>
      </c>
      <c r="C601" s="144" t="s">
        <v>565</v>
      </c>
      <c r="D601" s="214" t="s">
        <v>566</v>
      </c>
      <c r="E601" s="218" t="s">
        <v>570</v>
      </c>
      <c r="F601" s="218" t="s">
        <v>570</v>
      </c>
      <c r="G601" s="179">
        <v>0.1</v>
      </c>
      <c r="H601" s="179">
        <v>0.1</v>
      </c>
      <c r="I601" s="173"/>
      <c r="J601" s="220" t="s">
        <v>570</v>
      </c>
      <c r="K601" s="144"/>
      <c r="L601" s="144" t="s">
        <v>547</v>
      </c>
    </row>
    <row r="602" spans="1:12" ht="28.8" x14ac:dyDescent="0.3">
      <c r="A602" s="143">
        <v>42</v>
      </c>
      <c r="B602" s="143" t="s">
        <v>1009</v>
      </c>
      <c r="C602" s="144" t="s">
        <v>565</v>
      </c>
      <c r="D602" s="214" t="s">
        <v>566</v>
      </c>
      <c r="E602" s="218" t="s">
        <v>571</v>
      </c>
      <c r="F602" s="218" t="s">
        <v>571</v>
      </c>
      <c r="G602" s="179">
        <v>0.05</v>
      </c>
      <c r="H602" s="179">
        <v>0.05</v>
      </c>
      <c r="I602" s="173"/>
      <c r="J602" s="220" t="s">
        <v>571</v>
      </c>
      <c r="K602" s="144" t="s">
        <v>536</v>
      </c>
      <c r="L602" s="144" t="s">
        <v>547</v>
      </c>
    </row>
    <row r="603" spans="1:12" ht="28.8" x14ac:dyDescent="0.3">
      <c r="A603" s="134">
        <v>43</v>
      </c>
      <c r="B603" s="134" t="s">
        <v>993</v>
      </c>
      <c r="C603" s="135" t="s">
        <v>572</v>
      </c>
      <c r="D603" s="202" t="s">
        <v>573</v>
      </c>
      <c r="E603" s="233" t="s">
        <v>574</v>
      </c>
      <c r="F603" s="233" t="s">
        <v>574</v>
      </c>
      <c r="G603" s="138">
        <v>0.15</v>
      </c>
      <c r="H603" s="138">
        <v>0.15</v>
      </c>
      <c r="I603" s="168"/>
      <c r="J603" s="234" t="s">
        <v>574</v>
      </c>
      <c r="K603" s="135" t="s">
        <v>519</v>
      </c>
      <c r="L603" s="135" t="s">
        <v>547</v>
      </c>
    </row>
    <row r="604" spans="1:12" ht="72" x14ac:dyDescent="0.3">
      <c r="A604" s="134">
        <v>43</v>
      </c>
      <c r="B604" s="134" t="s">
        <v>993</v>
      </c>
      <c r="C604" s="135" t="s">
        <v>572</v>
      </c>
      <c r="D604" s="202" t="s">
        <v>573</v>
      </c>
      <c r="E604" s="233" t="s">
        <v>575</v>
      </c>
      <c r="F604" s="233" t="s">
        <v>575</v>
      </c>
      <c r="G604" s="138">
        <v>0.15</v>
      </c>
      <c r="H604" s="138">
        <v>0.15</v>
      </c>
      <c r="I604" s="168"/>
      <c r="J604" s="234" t="s">
        <v>576</v>
      </c>
      <c r="K604" s="135" t="s">
        <v>519</v>
      </c>
      <c r="L604" s="135" t="s">
        <v>547</v>
      </c>
    </row>
    <row r="605" spans="1:12" ht="28.8" x14ac:dyDescent="0.3">
      <c r="A605" s="134">
        <v>43</v>
      </c>
      <c r="B605" s="134" t="s">
        <v>993</v>
      </c>
      <c r="C605" s="135" t="s">
        <v>572</v>
      </c>
      <c r="D605" s="202" t="s">
        <v>573</v>
      </c>
      <c r="E605" s="233" t="s">
        <v>577</v>
      </c>
      <c r="F605" s="233" t="s">
        <v>577</v>
      </c>
      <c r="G605" s="138">
        <v>0.15</v>
      </c>
      <c r="H605" s="138">
        <v>0.15</v>
      </c>
      <c r="I605" s="168"/>
      <c r="J605" s="233" t="s">
        <v>577</v>
      </c>
      <c r="K605" s="135" t="s">
        <v>519</v>
      </c>
      <c r="L605" s="135" t="s">
        <v>547</v>
      </c>
    </row>
    <row r="606" spans="1:12" ht="28.8" x14ac:dyDescent="0.3">
      <c r="A606" s="134">
        <v>43</v>
      </c>
      <c r="B606" s="134" t="s">
        <v>993</v>
      </c>
      <c r="C606" s="135" t="s">
        <v>572</v>
      </c>
      <c r="D606" s="202" t="s">
        <v>573</v>
      </c>
      <c r="E606" s="233" t="s">
        <v>578</v>
      </c>
      <c r="F606" s="233" t="s">
        <v>578</v>
      </c>
      <c r="G606" s="138">
        <v>0.1</v>
      </c>
      <c r="H606" s="138">
        <v>0.1</v>
      </c>
      <c r="I606" s="138"/>
      <c r="J606" s="234" t="s">
        <v>579</v>
      </c>
      <c r="K606" s="135" t="s">
        <v>536</v>
      </c>
      <c r="L606" s="135" t="s">
        <v>547</v>
      </c>
    </row>
    <row r="607" spans="1:12" ht="43.2" x14ac:dyDescent="0.3">
      <c r="A607" s="134">
        <v>43</v>
      </c>
      <c r="B607" s="134" t="s">
        <v>993</v>
      </c>
      <c r="C607" s="135" t="s">
        <v>572</v>
      </c>
      <c r="D607" s="202" t="s">
        <v>573</v>
      </c>
      <c r="E607" s="207" t="s">
        <v>580</v>
      </c>
      <c r="F607" s="207" t="s">
        <v>580</v>
      </c>
      <c r="G607" s="138">
        <v>0.15</v>
      </c>
      <c r="H607" s="138">
        <v>0.15</v>
      </c>
      <c r="I607" s="168"/>
      <c r="J607" s="209" t="s">
        <v>580</v>
      </c>
      <c r="K607" s="135" t="s">
        <v>536</v>
      </c>
      <c r="L607" s="135" t="s">
        <v>547</v>
      </c>
    </row>
    <row r="608" spans="1:12" ht="28.8" x14ac:dyDescent="0.3">
      <c r="A608" s="134">
        <v>43</v>
      </c>
      <c r="B608" s="134" t="s">
        <v>993</v>
      </c>
      <c r="C608" s="135" t="s">
        <v>572</v>
      </c>
      <c r="D608" s="202" t="s">
        <v>573</v>
      </c>
      <c r="E608" s="203" t="s">
        <v>581</v>
      </c>
      <c r="F608" s="203" t="s">
        <v>581</v>
      </c>
      <c r="G608" s="138">
        <v>0.1</v>
      </c>
      <c r="H608" s="138">
        <v>0.1</v>
      </c>
      <c r="I608" s="168"/>
      <c r="J608" s="204" t="s">
        <v>581</v>
      </c>
      <c r="K608" s="135" t="s">
        <v>536</v>
      </c>
      <c r="L608" s="135" t="s">
        <v>547</v>
      </c>
    </row>
    <row r="609" spans="1:12" ht="28.8" x14ac:dyDescent="0.3">
      <c r="A609" s="134">
        <v>43</v>
      </c>
      <c r="B609" s="134" t="s">
        <v>993</v>
      </c>
      <c r="C609" s="135" t="s">
        <v>572</v>
      </c>
      <c r="D609" s="202" t="s">
        <v>573</v>
      </c>
      <c r="E609" s="207" t="s">
        <v>582</v>
      </c>
      <c r="F609" s="207" t="s">
        <v>582</v>
      </c>
      <c r="G609" s="138">
        <v>0.1</v>
      </c>
      <c r="H609" s="138">
        <v>0.1</v>
      </c>
      <c r="I609" s="168"/>
      <c r="J609" s="209" t="s">
        <v>582</v>
      </c>
      <c r="K609" s="135" t="s">
        <v>536</v>
      </c>
      <c r="L609" s="135" t="s">
        <v>547</v>
      </c>
    </row>
    <row r="610" spans="1:12" ht="28.8" x14ac:dyDescent="0.3">
      <c r="A610" s="134">
        <v>43</v>
      </c>
      <c r="B610" s="134" t="s">
        <v>993</v>
      </c>
      <c r="C610" s="135" t="s">
        <v>572</v>
      </c>
      <c r="D610" s="202" t="s">
        <v>573</v>
      </c>
      <c r="E610" s="207" t="s">
        <v>583</v>
      </c>
      <c r="F610" s="207" t="s">
        <v>583</v>
      </c>
      <c r="G610" s="138">
        <v>0.1</v>
      </c>
      <c r="H610" s="138">
        <v>0.1</v>
      </c>
      <c r="I610" s="168"/>
      <c r="J610" s="209" t="s">
        <v>583</v>
      </c>
      <c r="K610" s="135" t="s">
        <v>536</v>
      </c>
      <c r="L610" s="135" t="s">
        <v>547</v>
      </c>
    </row>
    <row r="611" spans="1:12" ht="28.8" x14ac:dyDescent="0.3">
      <c r="A611" s="143">
        <v>44</v>
      </c>
      <c r="B611" s="143" t="e">
        <v>#N/A</v>
      </c>
      <c r="C611" s="143" t="s">
        <v>584</v>
      </c>
      <c r="D611" s="229" t="s">
        <v>585</v>
      </c>
      <c r="E611" s="215" t="s">
        <v>586</v>
      </c>
      <c r="F611" s="215" t="s">
        <v>586</v>
      </c>
      <c r="G611" s="235">
        <v>0.3</v>
      </c>
      <c r="H611" s="235">
        <v>0.3</v>
      </c>
      <c r="I611" s="173"/>
      <c r="J611" s="217" t="s">
        <v>586</v>
      </c>
      <c r="K611" s="144"/>
      <c r="L611" s="144" t="s">
        <v>560</v>
      </c>
    </row>
    <row r="612" spans="1:12" ht="28.8" x14ac:dyDescent="0.3">
      <c r="A612" s="143">
        <v>44</v>
      </c>
      <c r="B612" s="143" t="e">
        <v>#N/A</v>
      </c>
      <c r="C612" s="143" t="s">
        <v>584</v>
      </c>
      <c r="D612" s="229" t="s">
        <v>585</v>
      </c>
      <c r="E612" s="215" t="s">
        <v>562</v>
      </c>
      <c r="F612" s="215" t="s">
        <v>562</v>
      </c>
      <c r="G612" s="235">
        <v>0.25</v>
      </c>
      <c r="H612" s="235">
        <v>0.25</v>
      </c>
      <c r="I612" s="173"/>
      <c r="J612" s="217" t="s">
        <v>562</v>
      </c>
      <c r="K612" s="144"/>
      <c r="L612" s="144" t="s">
        <v>560</v>
      </c>
    </row>
    <row r="613" spans="1:12" ht="28.8" x14ac:dyDescent="0.3">
      <c r="A613" s="143">
        <v>44</v>
      </c>
      <c r="B613" s="143" t="e">
        <v>#N/A</v>
      </c>
      <c r="C613" s="143" t="s">
        <v>584</v>
      </c>
      <c r="D613" s="229" t="s">
        <v>585</v>
      </c>
      <c r="E613" s="215" t="s">
        <v>563</v>
      </c>
      <c r="F613" s="215" t="s">
        <v>563</v>
      </c>
      <c r="G613" s="235">
        <v>0.2</v>
      </c>
      <c r="H613" s="235">
        <v>0.2</v>
      </c>
      <c r="I613" s="173">
        <v>1</v>
      </c>
      <c r="J613" s="217" t="s">
        <v>563</v>
      </c>
      <c r="K613" s="144"/>
      <c r="L613" s="144" t="s">
        <v>560</v>
      </c>
    </row>
    <row r="614" spans="1:12" ht="28.8" x14ac:dyDescent="0.3">
      <c r="A614" s="143">
        <v>44</v>
      </c>
      <c r="B614" s="143" t="e">
        <v>#N/A</v>
      </c>
      <c r="C614" s="143" t="s">
        <v>584</v>
      </c>
      <c r="D614" s="229" t="s">
        <v>585</v>
      </c>
      <c r="E614" s="215" t="s">
        <v>587</v>
      </c>
      <c r="F614" s="215" t="s">
        <v>587</v>
      </c>
      <c r="G614" s="235">
        <v>0.25</v>
      </c>
      <c r="H614" s="235">
        <v>0.25</v>
      </c>
      <c r="I614" s="173">
        <v>1</v>
      </c>
      <c r="J614" s="217" t="s">
        <v>587</v>
      </c>
      <c r="K614" s="144"/>
      <c r="L614" s="144" t="s">
        <v>560</v>
      </c>
    </row>
    <row r="615" spans="1:12" ht="28.8" x14ac:dyDescent="0.3">
      <c r="A615" s="134">
        <v>45</v>
      </c>
      <c r="B615" s="134" t="s">
        <v>1003</v>
      </c>
      <c r="C615" s="135" t="s">
        <v>588</v>
      </c>
      <c r="D615" s="202" t="s">
        <v>589</v>
      </c>
      <c r="E615" s="205" t="s">
        <v>590</v>
      </c>
      <c r="F615" s="205" t="s">
        <v>590</v>
      </c>
      <c r="G615" s="232">
        <v>0.3</v>
      </c>
      <c r="H615" s="232">
        <v>0.3</v>
      </c>
      <c r="I615" s="168"/>
      <c r="J615" s="206" t="s">
        <v>590</v>
      </c>
      <c r="K615" s="135"/>
      <c r="L615" s="135" t="s">
        <v>560</v>
      </c>
    </row>
    <row r="616" spans="1:12" ht="43.2" x14ac:dyDescent="0.3">
      <c r="A616" s="134">
        <v>45</v>
      </c>
      <c r="B616" s="134" t="s">
        <v>1003</v>
      </c>
      <c r="C616" s="135" t="s">
        <v>588</v>
      </c>
      <c r="D616" s="202" t="s">
        <v>589</v>
      </c>
      <c r="E616" s="205" t="s">
        <v>591</v>
      </c>
      <c r="F616" s="205" t="s">
        <v>591</v>
      </c>
      <c r="G616" s="232">
        <v>0.25</v>
      </c>
      <c r="H616" s="232">
        <v>0.25</v>
      </c>
      <c r="I616" s="168">
        <v>1</v>
      </c>
      <c r="J616" s="206" t="s">
        <v>592</v>
      </c>
      <c r="K616" s="135"/>
      <c r="L616" s="135" t="s">
        <v>560</v>
      </c>
    </row>
    <row r="617" spans="1:12" ht="28.8" x14ac:dyDescent="0.3">
      <c r="A617" s="134">
        <v>45</v>
      </c>
      <c r="B617" s="134" t="s">
        <v>1003</v>
      </c>
      <c r="C617" s="135" t="s">
        <v>588</v>
      </c>
      <c r="D617" s="202" t="s">
        <v>589</v>
      </c>
      <c r="E617" s="205" t="s">
        <v>593</v>
      </c>
      <c r="F617" s="205" t="s">
        <v>593</v>
      </c>
      <c r="G617" s="232">
        <v>0.2</v>
      </c>
      <c r="H617" s="232">
        <v>0.2</v>
      </c>
      <c r="I617" s="168">
        <v>1</v>
      </c>
      <c r="J617" s="206" t="s">
        <v>593</v>
      </c>
      <c r="K617" s="135"/>
      <c r="L617" s="135" t="s">
        <v>560</v>
      </c>
    </row>
    <row r="618" spans="1:12" ht="28.8" x14ac:dyDescent="0.3">
      <c r="A618" s="134">
        <v>45</v>
      </c>
      <c r="B618" s="134" t="s">
        <v>1003</v>
      </c>
      <c r="C618" s="135" t="s">
        <v>588</v>
      </c>
      <c r="D618" s="202" t="s">
        <v>589</v>
      </c>
      <c r="E618" s="205" t="s">
        <v>594</v>
      </c>
      <c r="F618" s="205" t="s">
        <v>594</v>
      </c>
      <c r="G618" s="232">
        <v>0.25</v>
      </c>
      <c r="H618" s="232">
        <v>0.25</v>
      </c>
      <c r="I618" s="168"/>
      <c r="J618" s="206" t="s">
        <v>595</v>
      </c>
      <c r="K618" s="135"/>
      <c r="L618" s="135" t="s">
        <v>560</v>
      </c>
    </row>
    <row r="619" spans="1:12" ht="43.2" x14ac:dyDescent="0.3">
      <c r="A619" s="143">
        <v>46</v>
      </c>
      <c r="B619" s="143" t="e">
        <v>#N/A</v>
      </c>
      <c r="C619" s="143" t="s">
        <v>584</v>
      </c>
      <c r="D619" s="229" t="s">
        <v>596</v>
      </c>
      <c r="E619" s="161" t="s">
        <v>597</v>
      </c>
      <c r="F619" s="161" t="s">
        <v>597</v>
      </c>
      <c r="G619" s="219">
        <v>0.2</v>
      </c>
      <c r="H619" s="219">
        <v>0.2</v>
      </c>
      <c r="I619" s="169" t="s">
        <v>598</v>
      </c>
      <c r="J619" s="144" t="s">
        <v>597</v>
      </c>
      <c r="K619" s="144"/>
      <c r="L619" s="144" t="s">
        <v>550</v>
      </c>
    </row>
    <row r="620" spans="1:12" x14ac:dyDescent="0.3">
      <c r="A620" s="143">
        <v>46</v>
      </c>
      <c r="B620" s="143" t="e">
        <v>#N/A</v>
      </c>
      <c r="C620" s="143" t="s">
        <v>584</v>
      </c>
      <c r="D620" s="229" t="s">
        <v>596</v>
      </c>
      <c r="E620" s="161" t="s">
        <v>599</v>
      </c>
      <c r="F620" s="161" t="s">
        <v>599</v>
      </c>
      <c r="G620" s="219">
        <v>0.2</v>
      </c>
      <c r="H620" s="219">
        <v>0.2</v>
      </c>
      <c r="I620" s="169"/>
      <c r="J620" s="144" t="s">
        <v>599</v>
      </c>
      <c r="K620" s="144"/>
      <c r="L620" s="144" t="s">
        <v>550</v>
      </c>
    </row>
    <row r="621" spans="1:12" ht="43.2" x14ac:dyDescent="0.3">
      <c r="A621" s="143">
        <v>46</v>
      </c>
      <c r="B621" s="143" t="e">
        <v>#N/A</v>
      </c>
      <c r="C621" s="143" t="s">
        <v>584</v>
      </c>
      <c r="D621" s="229" t="s">
        <v>596</v>
      </c>
      <c r="E621" s="161" t="s">
        <v>600</v>
      </c>
      <c r="F621" s="161" t="s">
        <v>600</v>
      </c>
      <c r="G621" s="219">
        <v>0.2</v>
      </c>
      <c r="H621" s="219">
        <v>0.2</v>
      </c>
      <c r="I621" s="169" t="s">
        <v>601</v>
      </c>
      <c r="J621" s="144" t="s">
        <v>602</v>
      </c>
      <c r="K621" s="144"/>
      <c r="L621" s="144" t="s">
        <v>550</v>
      </c>
    </row>
    <row r="622" spans="1:12" ht="28.8" x14ac:dyDescent="0.3">
      <c r="A622" s="143">
        <v>46</v>
      </c>
      <c r="B622" s="143" t="e">
        <v>#N/A</v>
      </c>
      <c r="C622" s="143" t="s">
        <v>584</v>
      </c>
      <c r="D622" s="229" t="s">
        <v>596</v>
      </c>
      <c r="E622" s="161" t="s">
        <v>603</v>
      </c>
      <c r="F622" s="161" t="s">
        <v>603</v>
      </c>
      <c r="G622" s="219">
        <v>0.2</v>
      </c>
      <c r="H622" s="219">
        <v>0.2</v>
      </c>
      <c r="I622" s="173">
        <v>0.01</v>
      </c>
      <c r="J622" s="144" t="s">
        <v>603</v>
      </c>
      <c r="K622" s="144"/>
      <c r="L622" s="144" t="s">
        <v>550</v>
      </c>
    </row>
    <row r="623" spans="1:12" ht="28.8" x14ac:dyDescent="0.3">
      <c r="A623" s="143">
        <v>46</v>
      </c>
      <c r="B623" s="143" t="e">
        <v>#N/A</v>
      </c>
      <c r="C623" s="143" t="s">
        <v>584</v>
      </c>
      <c r="D623" s="229" t="s">
        <v>596</v>
      </c>
      <c r="E623" s="161" t="s">
        <v>604</v>
      </c>
      <c r="F623" s="161" t="s">
        <v>604</v>
      </c>
      <c r="G623" s="219">
        <v>0.2</v>
      </c>
      <c r="H623" s="219">
        <v>0.2</v>
      </c>
      <c r="I623" s="169"/>
      <c r="J623" s="144" t="s">
        <v>604</v>
      </c>
      <c r="K623" s="144"/>
      <c r="L623" s="144" t="s">
        <v>550</v>
      </c>
    </row>
    <row r="624" spans="1:12" ht="28.8" x14ac:dyDescent="0.3">
      <c r="A624" s="134">
        <v>47</v>
      </c>
      <c r="B624" s="134" t="s">
        <v>1005</v>
      </c>
      <c r="C624" s="135" t="s">
        <v>605</v>
      </c>
      <c r="D624" s="202" t="s">
        <v>606</v>
      </c>
      <c r="E624" s="205" t="s">
        <v>607</v>
      </c>
      <c r="F624" s="205" t="s">
        <v>607</v>
      </c>
      <c r="G624" s="138">
        <v>0.2</v>
      </c>
      <c r="H624" s="138">
        <v>0.2</v>
      </c>
      <c r="I624" s="168">
        <v>1</v>
      </c>
      <c r="J624" s="206" t="s">
        <v>607</v>
      </c>
      <c r="K624" s="135" t="s">
        <v>529</v>
      </c>
      <c r="L624" s="135" t="s">
        <v>550</v>
      </c>
    </row>
    <row r="625" spans="1:12" x14ac:dyDescent="0.3">
      <c r="A625" s="134">
        <v>47</v>
      </c>
      <c r="B625" s="134" t="s">
        <v>1005</v>
      </c>
      <c r="C625" s="135" t="s">
        <v>605</v>
      </c>
      <c r="D625" s="202" t="s">
        <v>606</v>
      </c>
      <c r="E625" s="236" t="s">
        <v>608</v>
      </c>
      <c r="F625" s="236" t="s">
        <v>608</v>
      </c>
      <c r="G625" s="138">
        <v>0.2</v>
      </c>
      <c r="H625" s="138">
        <v>0.2</v>
      </c>
      <c r="I625" s="168"/>
      <c r="J625" s="237" t="s">
        <v>609</v>
      </c>
      <c r="K625" s="135"/>
      <c r="L625" s="135" t="s">
        <v>550</v>
      </c>
    </row>
    <row r="626" spans="1:12" x14ac:dyDescent="0.3">
      <c r="A626" s="134">
        <v>47</v>
      </c>
      <c r="B626" s="134" t="s">
        <v>1005</v>
      </c>
      <c r="C626" s="135" t="s">
        <v>605</v>
      </c>
      <c r="D626" s="202" t="s">
        <v>606</v>
      </c>
      <c r="E626" s="205" t="s">
        <v>610</v>
      </c>
      <c r="F626" s="205" t="s">
        <v>610</v>
      </c>
      <c r="G626" s="138">
        <v>0.2</v>
      </c>
      <c r="H626" s="138">
        <v>0.2</v>
      </c>
      <c r="I626" s="168"/>
      <c r="J626" s="206" t="s">
        <v>610</v>
      </c>
      <c r="K626" s="135"/>
      <c r="L626" s="135" t="s">
        <v>550</v>
      </c>
    </row>
    <row r="627" spans="1:12" ht="43.2" x14ac:dyDescent="0.3">
      <c r="A627" s="134">
        <v>47</v>
      </c>
      <c r="B627" s="134" t="s">
        <v>1005</v>
      </c>
      <c r="C627" s="135" t="s">
        <v>605</v>
      </c>
      <c r="D627" s="202" t="s">
        <v>606</v>
      </c>
      <c r="E627" s="236" t="s">
        <v>611</v>
      </c>
      <c r="F627" s="236" t="s">
        <v>611</v>
      </c>
      <c r="G627" s="138">
        <v>0.2</v>
      </c>
      <c r="H627" s="138">
        <v>0.2</v>
      </c>
      <c r="I627" s="135"/>
      <c r="J627" s="237" t="s">
        <v>611</v>
      </c>
      <c r="K627" s="135"/>
      <c r="L627" s="135" t="s">
        <v>550</v>
      </c>
    </row>
    <row r="628" spans="1:12" ht="28.8" x14ac:dyDescent="0.3">
      <c r="A628" s="134">
        <v>47</v>
      </c>
      <c r="B628" s="134" t="s">
        <v>1005</v>
      </c>
      <c r="C628" s="135" t="s">
        <v>605</v>
      </c>
      <c r="D628" s="202" t="s">
        <v>606</v>
      </c>
      <c r="E628" s="236" t="s">
        <v>612</v>
      </c>
      <c r="F628" s="236" t="s">
        <v>612</v>
      </c>
      <c r="G628" s="138">
        <v>0.2</v>
      </c>
      <c r="H628" s="138">
        <v>0.2</v>
      </c>
      <c r="I628" s="135"/>
      <c r="J628" s="237" t="s">
        <v>612</v>
      </c>
      <c r="K628" s="135"/>
      <c r="L628" s="135" t="s">
        <v>550</v>
      </c>
    </row>
    <row r="629" spans="1:12" ht="43.2" x14ac:dyDescent="0.3">
      <c r="A629" s="143">
        <v>48</v>
      </c>
      <c r="B629" s="143" t="s">
        <v>996</v>
      </c>
      <c r="C629" s="143" t="s">
        <v>613</v>
      </c>
      <c r="D629" s="229" t="s">
        <v>614</v>
      </c>
      <c r="E629" s="215" t="s">
        <v>615</v>
      </c>
      <c r="F629" s="215" t="s">
        <v>615</v>
      </c>
      <c r="G629" s="179">
        <v>0.2</v>
      </c>
      <c r="H629" s="179">
        <v>0.2</v>
      </c>
      <c r="I629" s="173">
        <v>1</v>
      </c>
      <c r="J629" s="217" t="s">
        <v>615</v>
      </c>
      <c r="K629" s="144" t="s">
        <v>529</v>
      </c>
      <c r="L629" s="144" t="s">
        <v>550</v>
      </c>
    </row>
    <row r="630" spans="1:12" x14ac:dyDescent="0.3">
      <c r="A630" s="143">
        <v>48</v>
      </c>
      <c r="B630" s="143" t="s">
        <v>996</v>
      </c>
      <c r="C630" s="143" t="s">
        <v>613</v>
      </c>
      <c r="D630" s="229" t="s">
        <v>614</v>
      </c>
      <c r="E630" s="238" t="s">
        <v>616</v>
      </c>
      <c r="F630" s="238" t="s">
        <v>616</v>
      </c>
      <c r="G630" s="179">
        <v>0.2</v>
      </c>
      <c r="H630" s="179">
        <v>0.2</v>
      </c>
      <c r="I630" s="173"/>
      <c r="J630" s="239" t="s">
        <v>616</v>
      </c>
      <c r="K630" s="144"/>
      <c r="L630" s="144" t="s">
        <v>550</v>
      </c>
    </row>
    <row r="631" spans="1:12" x14ac:dyDescent="0.3">
      <c r="A631" s="143">
        <v>48</v>
      </c>
      <c r="B631" s="143" t="s">
        <v>996</v>
      </c>
      <c r="C631" s="143" t="s">
        <v>613</v>
      </c>
      <c r="D631" s="229" t="s">
        <v>614</v>
      </c>
      <c r="E631" s="238" t="s">
        <v>617</v>
      </c>
      <c r="F631" s="238" t="s">
        <v>617</v>
      </c>
      <c r="G631" s="179">
        <v>0.2</v>
      </c>
      <c r="H631" s="179">
        <v>0.2</v>
      </c>
      <c r="I631" s="173"/>
      <c r="J631" s="239" t="s">
        <v>617</v>
      </c>
      <c r="K631" s="144"/>
      <c r="L631" s="144" t="s">
        <v>550</v>
      </c>
    </row>
    <row r="632" spans="1:12" x14ac:dyDescent="0.3">
      <c r="A632" s="143">
        <v>48</v>
      </c>
      <c r="B632" s="143" t="s">
        <v>996</v>
      </c>
      <c r="C632" s="143" t="s">
        <v>613</v>
      </c>
      <c r="D632" s="229" t="s">
        <v>614</v>
      </c>
      <c r="E632" s="238" t="s">
        <v>618</v>
      </c>
      <c r="F632" s="238" t="s">
        <v>618</v>
      </c>
      <c r="G632" s="179">
        <v>0.2</v>
      </c>
      <c r="H632" s="179">
        <v>0.2</v>
      </c>
      <c r="I632" s="173"/>
      <c r="J632" s="239" t="s">
        <v>618</v>
      </c>
      <c r="K632" s="144"/>
      <c r="L632" s="144" t="s">
        <v>550</v>
      </c>
    </row>
    <row r="633" spans="1:12" ht="28.8" x14ac:dyDescent="0.3">
      <c r="A633" s="143">
        <v>48</v>
      </c>
      <c r="B633" s="143" t="s">
        <v>996</v>
      </c>
      <c r="C633" s="143" t="s">
        <v>613</v>
      </c>
      <c r="D633" s="229" t="s">
        <v>614</v>
      </c>
      <c r="E633" s="238" t="s">
        <v>619</v>
      </c>
      <c r="F633" s="238" t="s">
        <v>619</v>
      </c>
      <c r="G633" s="179">
        <v>0.2</v>
      </c>
      <c r="H633" s="179">
        <v>0.2</v>
      </c>
      <c r="I633" s="173"/>
      <c r="J633" s="239" t="s">
        <v>619</v>
      </c>
      <c r="K633" s="144"/>
      <c r="L633" s="144" t="s">
        <v>550</v>
      </c>
    </row>
    <row r="634" spans="1:12" ht="43.2" x14ac:dyDescent="0.3">
      <c r="A634" s="134">
        <v>49</v>
      </c>
      <c r="B634" s="134" t="s">
        <v>1036</v>
      </c>
      <c r="C634" s="240" t="s">
        <v>620</v>
      </c>
      <c r="D634" s="202" t="s">
        <v>621</v>
      </c>
      <c r="E634" s="205" t="s">
        <v>622</v>
      </c>
      <c r="F634" s="205" t="s">
        <v>622</v>
      </c>
      <c r="G634" s="138">
        <v>0.25</v>
      </c>
      <c r="H634" s="138">
        <v>0.25</v>
      </c>
      <c r="I634" s="168">
        <v>1</v>
      </c>
      <c r="J634" s="206" t="s">
        <v>622</v>
      </c>
      <c r="K634" s="135" t="s">
        <v>536</v>
      </c>
      <c r="L634" s="135" t="s">
        <v>550</v>
      </c>
    </row>
    <row r="635" spans="1:12" x14ac:dyDescent="0.3">
      <c r="A635" s="134">
        <v>49</v>
      </c>
      <c r="B635" s="134" t="s">
        <v>1036</v>
      </c>
      <c r="C635" s="240" t="s">
        <v>620</v>
      </c>
      <c r="D635" s="202" t="s">
        <v>621</v>
      </c>
      <c r="E635" s="158" t="s">
        <v>623</v>
      </c>
      <c r="F635" s="158" t="s">
        <v>623</v>
      </c>
      <c r="G635" s="138">
        <v>0.25</v>
      </c>
      <c r="H635" s="138">
        <v>0.25</v>
      </c>
      <c r="I635" s="164"/>
      <c r="J635" s="135" t="s">
        <v>623</v>
      </c>
      <c r="K635" s="135"/>
      <c r="L635" s="135" t="s">
        <v>550</v>
      </c>
    </row>
    <row r="636" spans="1:12" x14ac:dyDescent="0.3">
      <c r="A636" s="134">
        <v>49</v>
      </c>
      <c r="B636" s="134" t="s">
        <v>1036</v>
      </c>
      <c r="C636" s="240" t="s">
        <v>620</v>
      </c>
      <c r="D636" s="202" t="s">
        <v>621</v>
      </c>
      <c r="E636" s="158" t="s">
        <v>624</v>
      </c>
      <c r="F636" s="158" t="s">
        <v>624</v>
      </c>
      <c r="G636" s="138">
        <v>0.25</v>
      </c>
      <c r="H636" s="138">
        <v>0.25</v>
      </c>
      <c r="I636" s="164"/>
      <c r="J636" s="135" t="s">
        <v>624</v>
      </c>
      <c r="K636" s="135"/>
      <c r="L636" s="135" t="s">
        <v>550</v>
      </c>
    </row>
    <row r="637" spans="1:12" ht="28.8" x14ac:dyDescent="0.3">
      <c r="A637" s="134">
        <v>49</v>
      </c>
      <c r="B637" s="134" t="s">
        <v>1036</v>
      </c>
      <c r="C637" s="240" t="s">
        <v>620</v>
      </c>
      <c r="D637" s="202" t="s">
        <v>621</v>
      </c>
      <c r="E637" s="158" t="s">
        <v>625</v>
      </c>
      <c r="F637" s="158" t="s">
        <v>625</v>
      </c>
      <c r="G637" s="138">
        <v>0.25</v>
      </c>
      <c r="H637" s="138">
        <v>0.25</v>
      </c>
      <c r="I637" s="164"/>
      <c r="J637" s="135" t="s">
        <v>625</v>
      </c>
      <c r="K637" s="135"/>
      <c r="L637" s="135" t="s">
        <v>550</v>
      </c>
    </row>
    <row r="638" spans="1:12" x14ac:dyDescent="0.3">
      <c r="A638" s="143">
        <v>50</v>
      </c>
      <c r="B638" s="143" t="e">
        <v>#N/A</v>
      </c>
      <c r="C638" s="143" t="s">
        <v>626</v>
      </c>
      <c r="D638" s="229" t="s">
        <v>627</v>
      </c>
      <c r="E638" s="215" t="s">
        <v>628</v>
      </c>
      <c r="F638" s="215" t="s">
        <v>628</v>
      </c>
      <c r="G638" s="147">
        <v>0.25</v>
      </c>
      <c r="H638" s="147">
        <v>0.25</v>
      </c>
      <c r="I638" s="173" t="s">
        <v>629</v>
      </c>
      <c r="J638" s="217" t="s">
        <v>628</v>
      </c>
      <c r="K638" s="144" t="s">
        <v>519</v>
      </c>
      <c r="L638" s="144" t="s">
        <v>550</v>
      </c>
    </row>
    <row r="639" spans="1:12" x14ac:dyDescent="0.3">
      <c r="A639" s="143">
        <v>50</v>
      </c>
      <c r="B639" s="143" t="e">
        <v>#N/A</v>
      </c>
      <c r="C639" s="143" t="s">
        <v>626</v>
      </c>
      <c r="D639" s="229" t="s">
        <v>627</v>
      </c>
      <c r="E639" s="215" t="s">
        <v>630</v>
      </c>
      <c r="F639" s="215" t="s">
        <v>630</v>
      </c>
      <c r="G639" s="147">
        <v>0.2</v>
      </c>
      <c r="H639" s="147">
        <v>0.2</v>
      </c>
      <c r="I639" s="173" t="s">
        <v>631</v>
      </c>
      <c r="J639" s="217" t="s">
        <v>630</v>
      </c>
      <c r="K639" s="144" t="s">
        <v>519</v>
      </c>
      <c r="L639" s="144" t="s">
        <v>550</v>
      </c>
    </row>
    <row r="640" spans="1:12" x14ac:dyDescent="0.3">
      <c r="A640" s="143">
        <v>50</v>
      </c>
      <c r="B640" s="143" t="e">
        <v>#N/A</v>
      </c>
      <c r="C640" s="143" t="s">
        <v>626</v>
      </c>
      <c r="D640" s="229" t="s">
        <v>627</v>
      </c>
      <c r="E640" s="218" t="s">
        <v>524</v>
      </c>
      <c r="F640" s="218" t="s">
        <v>524</v>
      </c>
      <c r="G640" s="147">
        <v>0.25</v>
      </c>
      <c r="H640" s="147">
        <v>0.25</v>
      </c>
      <c r="I640" s="173">
        <v>0.65</v>
      </c>
      <c r="J640" s="220" t="s">
        <v>524</v>
      </c>
      <c r="K640" s="144" t="s">
        <v>519</v>
      </c>
      <c r="L640" s="144" t="s">
        <v>550</v>
      </c>
    </row>
    <row r="641" spans="1:12" ht="28.8" x14ac:dyDescent="0.3">
      <c r="A641" s="143">
        <v>50</v>
      </c>
      <c r="B641" s="143" t="e">
        <v>#N/A</v>
      </c>
      <c r="C641" s="143" t="s">
        <v>626</v>
      </c>
      <c r="D641" s="229" t="s">
        <v>627</v>
      </c>
      <c r="E641" s="161" t="s">
        <v>632</v>
      </c>
      <c r="F641" s="161" t="s">
        <v>632</v>
      </c>
      <c r="G641" s="147">
        <v>0.15</v>
      </c>
      <c r="H641" s="147">
        <v>0.15</v>
      </c>
      <c r="I641" s="173">
        <v>0.95</v>
      </c>
      <c r="J641" s="144" t="s">
        <v>632</v>
      </c>
      <c r="K641" s="144" t="s">
        <v>519</v>
      </c>
      <c r="L641" s="144" t="s">
        <v>550</v>
      </c>
    </row>
    <row r="642" spans="1:12" ht="28.8" x14ac:dyDescent="0.3">
      <c r="A642" s="143">
        <v>50</v>
      </c>
      <c r="B642" s="143" t="e">
        <v>#N/A</v>
      </c>
      <c r="C642" s="143" t="s">
        <v>626</v>
      </c>
      <c r="D642" s="229" t="s">
        <v>627</v>
      </c>
      <c r="E642" s="215" t="s">
        <v>633</v>
      </c>
      <c r="F642" s="215" t="s">
        <v>633</v>
      </c>
      <c r="G642" s="147">
        <v>0.15</v>
      </c>
      <c r="H642" s="147">
        <v>0.15</v>
      </c>
      <c r="I642" s="169"/>
      <c r="J642" s="217" t="s">
        <v>633</v>
      </c>
      <c r="K642" s="144"/>
      <c r="L642" s="144" t="s">
        <v>550</v>
      </c>
    </row>
    <row r="643" spans="1:12" x14ac:dyDescent="0.3">
      <c r="A643" s="143">
        <v>51</v>
      </c>
      <c r="B643" s="241" t="s">
        <v>634</v>
      </c>
      <c r="C643" s="241" t="s">
        <v>635</v>
      </c>
      <c r="D643" s="229" t="s">
        <v>627</v>
      </c>
      <c r="E643" s="215" t="s">
        <v>628</v>
      </c>
      <c r="F643" s="215" t="s">
        <v>628</v>
      </c>
      <c r="G643" s="147">
        <v>0.25</v>
      </c>
      <c r="H643" s="147">
        <v>0.25</v>
      </c>
      <c r="I643" s="173" t="s">
        <v>629</v>
      </c>
      <c r="J643" s="217" t="s">
        <v>628</v>
      </c>
      <c r="K643" s="144" t="s">
        <v>519</v>
      </c>
      <c r="L643" s="144" t="s">
        <v>550</v>
      </c>
    </row>
    <row r="644" spans="1:12" x14ac:dyDescent="0.3">
      <c r="A644" s="143">
        <v>51</v>
      </c>
      <c r="B644" s="241" t="s">
        <v>634</v>
      </c>
      <c r="C644" s="241" t="s">
        <v>635</v>
      </c>
      <c r="D644" s="229" t="s">
        <v>627</v>
      </c>
      <c r="E644" s="215" t="s">
        <v>630</v>
      </c>
      <c r="F644" s="215" t="s">
        <v>630</v>
      </c>
      <c r="G644" s="147">
        <v>0.2</v>
      </c>
      <c r="H644" s="147">
        <v>0.2</v>
      </c>
      <c r="I644" s="173" t="s">
        <v>631</v>
      </c>
      <c r="J644" s="217" t="s">
        <v>630</v>
      </c>
      <c r="K644" s="144" t="s">
        <v>519</v>
      </c>
      <c r="L644" s="144" t="s">
        <v>550</v>
      </c>
    </row>
    <row r="645" spans="1:12" x14ac:dyDescent="0.3">
      <c r="A645" s="143">
        <v>51</v>
      </c>
      <c r="B645" s="241" t="s">
        <v>634</v>
      </c>
      <c r="C645" s="241" t="s">
        <v>635</v>
      </c>
      <c r="D645" s="229" t="s">
        <v>627</v>
      </c>
      <c r="E645" s="218" t="s">
        <v>524</v>
      </c>
      <c r="F645" s="218" t="s">
        <v>524</v>
      </c>
      <c r="G645" s="147">
        <v>0.25</v>
      </c>
      <c r="H645" s="147">
        <v>0.25</v>
      </c>
      <c r="I645" s="173">
        <v>0.65</v>
      </c>
      <c r="J645" s="220" t="s">
        <v>524</v>
      </c>
      <c r="K645" s="144" t="s">
        <v>519</v>
      </c>
      <c r="L645" s="144" t="s">
        <v>550</v>
      </c>
    </row>
    <row r="646" spans="1:12" ht="28.8" x14ac:dyDescent="0.3">
      <c r="A646" s="143">
        <v>51</v>
      </c>
      <c r="B646" s="241" t="s">
        <v>634</v>
      </c>
      <c r="C646" s="241" t="s">
        <v>635</v>
      </c>
      <c r="D646" s="229" t="s">
        <v>627</v>
      </c>
      <c r="E646" s="161" t="s">
        <v>632</v>
      </c>
      <c r="F646" s="161" t="s">
        <v>632</v>
      </c>
      <c r="G646" s="147">
        <v>0.15</v>
      </c>
      <c r="H646" s="147">
        <v>0.15</v>
      </c>
      <c r="I646" s="173">
        <v>0.95</v>
      </c>
      <c r="J646" s="144" t="s">
        <v>632</v>
      </c>
      <c r="K646" s="144" t="s">
        <v>519</v>
      </c>
      <c r="L646" s="144" t="s">
        <v>550</v>
      </c>
    </row>
    <row r="647" spans="1:12" ht="28.8" x14ac:dyDescent="0.3">
      <c r="A647" s="143">
        <v>51</v>
      </c>
      <c r="B647" s="241" t="s">
        <v>634</v>
      </c>
      <c r="C647" s="241" t="s">
        <v>635</v>
      </c>
      <c r="D647" s="229" t="s">
        <v>627</v>
      </c>
      <c r="E647" s="215" t="s">
        <v>633</v>
      </c>
      <c r="F647" s="215" t="s">
        <v>633</v>
      </c>
      <c r="G647" s="147">
        <v>0.15</v>
      </c>
      <c r="H647" s="147">
        <v>0.15</v>
      </c>
      <c r="I647" s="169"/>
      <c r="J647" s="217" t="s">
        <v>633</v>
      </c>
      <c r="K647" s="144"/>
      <c r="L647" s="144" t="s">
        <v>550</v>
      </c>
    </row>
    <row r="648" spans="1:12" x14ac:dyDescent="0.3">
      <c r="A648" s="143">
        <v>52</v>
      </c>
      <c r="B648" s="241" t="s">
        <v>636</v>
      </c>
      <c r="C648" s="241" t="s">
        <v>637</v>
      </c>
      <c r="D648" s="229" t="s">
        <v>627</v>
      </c>
      <c r="E648" s="215" t="s">
        <v>628</v>
      </c>
      <c r="F648" s="215" t="s">
        <v>628</v>
      </c>
      <c r="G648" s="147">
        <v>0.25</v>
      </c>
      <c r="H648" s="147">
        <v>0.25</v>
      </c>
      <c r="I648" s="173" t="s">
        <v>629</v>
      </c>
      <c r="J648" s="217" t="s">
        <v>628</v>
      </c>
      <c r="K648" s="144" t="s">
        <v>519</v>
      </c>
      <c r="L648" s="144" t="s">
        <v>550</v>
      </c>
    </row>
    <row r="649" spans="1:12" x14ac:dyDescent="0.3">
      <c r="A649" s="143">
        <v>52</v>
      </c>
      <c r="B649" s="241" t="s">
        <v>636</v>
      </c>
      <c r="C649" s="241" t="s">
        <v>637</v>
      </c>
      <c r="D649" s="229" t="s">
        <v>627</v>
      </c>
      <c r="E649" s="215" t="s">
        <v>630</v>
      </c>
      <c r="F649" s="215" t="s">
        <v>630</v>
      </c>
      <c r="G649" s="147">
        <v>0.2</v>
      </c>
      <c r="H649" s="147">
        <v>0.2</v>
      </c>
      <c r="I649" s="173" t="s">
        <v>631</v>
      </c>
      <c r="J649" s="217" t="s">
        <v>630</v>
      </c>
      <c r="K649" s="144" t="s">
        <v>519</v>
      </c>
      <c r="L649" s="144" t="s">
        <v>550</v>
      </c>
    </row>
    <row r="650" spans="1:12" x14ac:dyDescent="0.3">
      <c r="A650" s="143">
        <v>52</v>
      </c>
      <c r="B650" s="241" t="s">
        <v>636</v>
      </c>
      <c r="C650" s="241" t="s">
        <v>637</v>
      </c>
      <c r="D650" s="229" t="s">
        <v>627</v>
      </c>
      <c r="E650" s="218" t="s">
        <v>524</v>
      </c>
      <c r="F650" s="218" t="s">
        <v>524</v>
      </c>
      <c r="G650" s="147">
        <v>0.25</v>
      </c>
      <c r="H650" s="147">
        <v>0.25</v>
      </c>
      <c r="I650" s="173">
        <v>0.65</v>
      </c>
      <c r="J650" s="220" t="s">
        <v>524</v>
      </c>
      <c r="K650" s="144" t="s">
        <v>519</v>
      </c>
      <c r="L650" s="144" t="s">
        <v>550</v>
      </c>
    </row>
    <row r="651" spans="1:12" ht="28.8" x14ac:dyDescent="0.3">
      <c r="A651" s="143">
        <v>52</v>
      </c>
      <c r="B651" s="241" t="s">
        <v>636</v>
      </c>
      <c r="C651" s="241" t="s">
        <v>637</v>
      </c>
      <c r="D651" s="229" t="s">
        <v>627</v>
      </c>
      <c r="E651" s="161" t="s">
        <v>632</v>
      </c>
      <c r="F651" s="161" t="s">
        <v>632</v>
      </c>
      <c r="G651" s="147">
        <v>0.15</v>
      </c>
      <c r="H651" s="147">
        <v>0.15</v>
      </c>
      <c r="I651" s="173">
        <v>0.95</v>
      </c>
      <c r="J651" s="144" t="s">
        <v>632</v>
      </c>
      <c r="K651" s="144" t="s">
        <v>519</v>
      </c>
      <c r="L651" s="144" t="s">
        <v>550</v>
      </c>
    </row>
    <row r="652" spans="1:12" ht="28.8" x14ac:dyDescent="0.3">
      <c r="A652" s="143">
        <v>52</v>
      </c>
      <c r="B652" s="241" t="s">
        <v>636</v>
      </c>
      <c r="C652" s="241" t="s">
        <v>637</v>
      </c>
      <c r="D652" s="229" t="s">
        <v>627</v>
      </c>
      <c r="E652" s="215" t="s">
        <v>633</v>
      </c>
      <c r="F652" s="215" t="s">
        <v>633</v>
      </c>
      <c r="G652" s="147">
        <v>0.15</v>
      </c>
      <c r="H652" s="147">
        <v>0.15</v>
      </c>
      <c r="I652" s="169"/>
      <c r="J652" s="217" t="s">
        <v>633</v>
      </c>
      <c r="K652" s="144"/>
      <c r="L652" s="144" t="s">
        <v>550</v>
      </c>
    </row>
    <row r="653" spans="1:12" x14ac:dyDescent="0.3">
      <c r="A653" s="143">
        <v>53</v>
      </c>
      <c r="B653" s="241" t="s">
        <v>638</v>
      </c>
      <c r="C653" s="241" t="s">
        <v>639</v>
      </c>
      <c r="D653" s="229" t="s">
        <v>627</v>
      </c>
      <c r="E653" s="215" t="s">
        <v>628</v>
      </c>
      <c r="F653" s="215" t="s">
        <v>628</v>
      </c>
      <c r="G653" s="147">
        <v>0.25</v>
      </c>
      <c r="H653" s="147">
        <v>0.25</v>
      </c>
      <c r="I653" s="173" t="s">
        <v>629</v>
      </c>
      <c r="J653" s="217" t="s">
        <v>628</v>
      </c>
      <c r="K653" s="144" t="s">
        <v>519</v>
      </c>
      <c r="L653" s="144" t="s">
        <v>550</v>
      </c>
    </row>
    <row r="654" spans="1:12" x14ac:dyDescent="0.3">
      <c r="A654" s="143">
        <v>53</v>
      </c>
      <c r="B654" s="241" t="s">
        <v>638</v>
      </c>
      <c r="C654" s="241" t="s">
        <v>639</v>
      </c>
      <c r="D654" s="229" t="s">
        <v>627</v>
      </c>
      <c r="E654" s="215" t="s">
        <v>630</v>
      </c>
      <c r="F654" s="215" t="s">
        <v>630</v>
      </c>
      <c r="G654" s="147">
        <v>0.2</v>
      </c>
      <c r="H654" s="147">
        <v>0.2</v>
      </c>
      <c r="I654" s="173" t="s">
        <v>631</v>
      </c>
      <c r="J654" s="217" t="s">
        <v>630</v>
      </c>
      <c r="K654" s="144" t="s">
        <v>519</v>
      </c>
      <c r="L654" s="144" t="s">
        <v>550</v>
      </c>
    </row>
    <row r="655" spans="1:12" x14ac:dyDescent="0.3">
      <c r="A655" s="143">
        <v>53</v>
      </c>
      <c r="B655" s="241" t="s">
        <v>638</v>
      </c>
      <c r="C655" s="241" t="s">
        <v>639</v>
      </c>
      <c r="D655" s="229" t="s">
        <v>627</v>
      </c>
      <c r="E655" s="218" t="s">
        <v>524</v>
      </c>
      <c r="F655" s="218" t="s">
        <v>524</v>
      </c>
      <c r="G655" s="147">
        <v>0.25</v>
      </c>
      <c r="H655" s="147">
        <v>0.25</v>
      </c>
      <c r="I655" s="173">
        <v>0.65</v>
      </c>
      <c r="J655" s="220" t="s">
        <v>524</v>
      </c>
      <c r="K655" s="144" t="s">
        <v>519</v>
      </c>
      <c r="L655" s="144" t="s">
        <v>550</v>
      </c>
    </row>
    <row r="656" spans="1:12" ht="28.8" x14ac:dyDescent="0.3">
      <c r="A656" s="143">
        <v>53</v>
      </c>
      <c r="B656" s="241" t="s">
        <v>638</v>
      </c>
      <c r="C656" s="241" t="s">
        <v>639</v>
      </c>
      <c r="D656" s="229" t="s">
        <v>627</v>
      </c>
      <c r="E656" s="161" t="s">
        <v>632</v>
      </c>
      <c r="F656" s="161" t="s">
        <v>632</v>
      </c>
      <c r="G656" s="147">
        <v>0.15</v>
      </c>
      <c r="H656" s="147">
        <v>0.15</v>
      </c>
      <c r="I656" s="173">
        <v>0.95</v>
      </c>
      <c r="J656" s="144" t="s">
        <v>632</v>
      </c>
      <c r="K656" s="144" t="s">
        <v>519</v>
      </c>
      <c r="L656" s="144" t="s">
        <v>550</v>
      </c>
    </row>
    <row r="657" spans="1:12" ht="28.8" x14ac:dyDescent="0.3">
      <c r="A657" s="143">
        <v>53</v>
      </c>
      <c r="B657" s="241" t="s">
        <v>638</v>
      </c>
      <c r="C657" s="241" t="s">
        <v>639</v>
      </c>
      <c r="D657" s="229" t="s">
        <v>627</v>
      </c>
      <c r="E657" s="215" t="s">
        <v>633</v>
      </c>
      <c r="F657" s="215" t="s">
        <v>633</v>
      </c>
      <c r="G657" s="147">
        <v>0.15</v>
      </c>
      <c r="H657" s="147">
        <v>0.15</v>
      </c>
      <c r="I657" s="169"/>
      <c r="J657" s="217" t="s">
        <v>633</v>
      </c>
      <c r="K657" s="144"/>
      <c r="L657" s="144" t="s">
        <v>550</v>
      </c>
    </row>
    <row r="658" spans="1:12" x14ac:dyDescent="0.3">
      <c r="A658" s="143">
        <v>54</v>
      </c>
      <c r="B658" s="241" t="s">
        <v>640</v>
      </c>
      <c r="C658" s="241" t="s">
        <v>641</v>
      </c>
      <c r="D658" s="229" t="s">
        <v>627</v>
      </c>
      <c r="E658" s="215" t="s">
        <v>628</v>
      </c>
      <c r="F658" s="215" t="s">
        <v>628</v>
      </c>
      <c r="G658" s="147">
        <v>0.25</v>
      </c>
      <c r="H658" s="147">
        <v>0.25</v>
      </c>
      <c r="I658" s="173" t="s">
        <v>629</v>
      </c>
      <c r="J658" s="217" t="s">
        <v>628</v>
      </c>
      <c r="K658" s="144" t="s">
        <v>519</v>
      </c>
      <c r="L658" s="144" t="s">
        <v>550</v>
      </c>
    </row>
    <row r="659" spans="1:12" x14ac:dyDescent="0.3">
      <c r="A659" s="143">
        <v>54</v>
      </c>
      <c r="B659" s="241" t="s">
        <v>640</v>
      </c>
      <c r="C659" s="241" t="s">
        <v>641</v>
      </c>
      <c r="D659" s="229" t="s">
        <v>627</v>
      </c>
      <c r="E659" s="215" t="s">
        <v>630</v>
      </c>
      <c r="F659" s="215" t="s">
        <v>630</v>
      </c>
      <c r="G659" s="147">
        <v>0.2</v>
      </c>
      <c r="H659" s="147">
        <v>0.2</v>
      </c>
      <c r="I659" s="173" t="s">
        <v>631</v>
      </c>
      <c r="J659" s="217" t="s">
        <v>630</v>
      </c>
      <c r="K659" s="144" t="s">
        <v>519</v>
      </c>
      <c r="L659" s="144" t="s">
        <v>550</v>
      </c>
    </row>
    <row r="660" spans="1:12" x14ac:dyDescent="0.3">
      <c r="A660" s="143">
        <v>54</v>
      </c>
      <c r="B660" s="241" t="s">
        <v>640</v>
      </c>
      <c r="C660" s="241" t="s">
        <v>641</v>
      </c>
      <c r="D660" s="229" t="s">
        <v>627</v>
      </c>
      <c r="E660" s="218" t="s">
        <v>524</v>
      </c>
      <c r="F660" s="218" t="s">
        <v>524</v>
      </c>
      <c r="G660" s="147">
        <v>0.25</v>
      </c>
      <c r="H660" s="147">
        <v>0.25</v>
      </c>
      <c r="I660" s="173">
        <v>0.65</v>
      </c>
      <c r="J660" s="220" t="s">
        <v>524</v>
      </c>
      <c r="K660" s="144" t="s">
        <v>519</v>
      </c>
      <c r="L660" s="144" t="s">
        <v>550</v>
      </c>
    </row>
    <row r="661" spans="1:12" ht="28.8" x14ac:dyDescent="0.3">
      <c r="A661" s="143">
        <v>54</v>
      </c>
      <c r="B661" s="241" t="s">
        <v>640</v>
      </c>
      <c r="C661" s="241" t="s">
        <v>641</v>
      </c>
      <c r="D661" s="229" t="s">
        <v>627</v>
      </c>
      <c r="E661" s="161" t="s">
        <v>632</v>
      </c>
      <c r="F661" s="161" t="s">
        <v>632</v>
      </c>
      <c r="G661" s="147">
        <v>0.15</v>
      </c>
      <c r="H661" s="147">
        <v>0.15</v>
      </c>
      <c r="I661" s="173">
        <v>0.95</v>
      </c>
      <c r="J661" s="144" t="s">
        <v>632</v>
      </c>
      <c r="K661" s="144" t="s">
        <v>519</v>
      </c>
      <c r="L661" s="144" t="s">
        <v>550</v>
      </c>
    </row>
    <row r="662" spans="1:12" ht="28.8" x14ac:dyDescent="0.3">
      <c r="A662" s="143">
        <v>54</v>
      </c>
      <c r="B662" s="241" t="s">
        <v>640</v>
      </c>
      <c r="C662" s="241" t="s">
        <v>641</v>
      </c>
      <c r="D662" s="229" t="s">
        <v>627</v>
      </c>
      <c r="E662" s="215" t="s">
        <v>633</v>
      </c>
      <c r="F662" s="215" t="s">
        <v>633</v>
      </c>
      <c r="G662" s="147">
        <v>0.15</v>
      </c>
      <c r="H662" s="147">
        <v>0.15</v>
      </c>
      <c r="I662" s="169"/>
      <c r="J662" s="217" t="s">
        <v>633</v>
      </c>
      <c r="K662" s="144"/>
      <c r="L662" s="144" t="s">
        <v>550</v>
      </c>
    </row>
    <row r="663" spans="1:12" x14ac:dyDescent="0.3">
      <c r="A663" s="143">
        <v>55</v>
      </c>
      <c r="B663" s="241" t="s">
        <v>642</v>
      </c>
      <c r="C663" s="241" t="s">
        <v>643</v>
      </c>
      <c r="D663" s="229" t="s">
        <v>627</v>
      </c>
      <c r="E663" s="215" t="s">
        <v>628</v>
      </c>
      <c r="F663" s="215" t="s">
        <v>628</v>
      </c>
      <c r="G663" s="147">
        <v>0.25</v>
      </c>
      <c r="H663" s="147">
        <v>0.25</v>
      </c>
      <c r="I663" s="173" t="s">
        <v>629</v>
      </c>
      <c r="J663" s="217" t="s">
        <v>628</v>
      </c>
      <c r="K663" s="144" t="s">
        <v>519</v>
      </c>
      <c r="L663" s="144" t="s">
        <v>550</v>
      </c>
    </row>
    <row r="664" spans="1:12" x14ac:dyDescent="0.3">
      <c r="A664" s="143">
        <v>55</v>
      </c>
      <c r="B664" s="241" t="s">
        <v>642</v>
      </c>
      <c r="C664" s="241" t="s">
        <v>643</v>
      </c>
      <c r="D664" s="229" t="s">
        <v>627</v>
      </c>
      <c r="E664" s="215" t="s">
        <v>630</v>
      </c>
      <c r="F664" s="215" t="s">
        <v>630</v>
      </c>
      <c r="G664" s="147">
        <v>0.2</v>
      </c>
      <c r="H664" s="147">
        <v>0.2</v>
      </c>
      <c r="I664" s="173" t="s">
        <v>631</v>
      </c>
      <c r="J664" s="217" t="s">
        <v>630</v>
      </c>
      <c r="K664" s="144" t="s">
        <v>519</v>
      </c>
      <c r="L664" s="144" t="s">
        <v>550</v>
      </c>
    </row>
    <row r="665" spans="1:12" x14ac:dyDescent="0.3">
      <c r="A665" s="143">
        <v>55</v>
      </c>
      <c r="B665" s="241" t="s">
        <v>642</v>
      </c>
      <c r="C665" s="241" t="s">
        <v>643</v>
      </c>
      <c r="D665" s="229" t="s">
        <v>627</v>
      </c>
      <c r="E665" s="218" t="s">
        <v>524</v>
      </c>
      <c r="F665" s="218" t="s">
        <v>524</v>
      </c>
      <c r="G665" s="147">
        <v>0.25</v>
      </c>
      <c r="H665" s="147">
        <v>0.25</v>
      </c>
      <c r="I665" s="173">
        <v>0.65</v>
      </c>
      <c r="J665" s="220" t="s">
        <v>524</v>
      </c>
      <c r="K665" s="144" t="s">
        <v>519</v>
      </c>
      <c r="L665" s="144" t="s">
        <v>550</v>
      </c>
    </row>
    <row r="666" spans="1:12" ht="28.8" x14ac:dyDescent="0.3">
      <c r="A666" s="143">
        <v>55</v>
      </c>
      <c r="B666" s="241" t="s">
        <v>642</v>
      </c>
      <c r="C666" s="241" t="s">
        <v>643</v>
      </c>
      <c r="D666" s="229" t="s">
        <v>627</v>
      </c>
      <c r="E666" s="161" t="s">
        <v>632</v>
      </c>
      <c r="F666" s="161" t="s">
        <v>632</v>
      </c>
      <c r="G666" s="147">
        <v>0.15</v>
      </c>
      <c r="H666" s="147">
        <v>0.15</v>
      </c>
      <c r="I666" s="173">
        <v>0.95</v>
      </c>
      <c r="J666" s="144" t="s">
        <v>632</v>
      </c>
      <c r="K666" s="144" t="s">
        <v>519</v>
      </c>
      <c r="L666" s="144" t="s">
        <v>550</v>
      </c>
    </row>
    <row r="667" spans="1:12" ht="28.8" x14ac:dyDescent="0.3">
      <c r="A667" s="143">
        <v>55</v>
      </c>
      <c r="B667" s="241" t="s">
        <v>642</v>
      </c>
      <c r="C667" s="241" t="s">
        <v>643</v>
      </c>
      <c r="D667" s="229" t="s">
        <v>627</v>
      </c>
      <c r="E667" s="215" t="s">
        <v>633</v>
      </c>
      <c r="F667" s="215" t="s">
        <v>633</v>
      </c>
      <c r="G667" s="147">
        <v>0.15</v>
      </c>
      <c r="H667" s="147">
        <v>0.15</v>
      </c>
      <c r="I667" s="169"/>
      <c r="J667" s="217" t="s">
        <v>633</v>
      </c>
      <c r="K667" s="144"/>
      <c r="L667" s="144" t="s">
        <v>550</v>
      </c>
    </row>
    <row r="668" spans="1:12" x14ac:dyDescent="0.3">
      <c r="A668" s="143">
        <v>56</v>
      </c>
      <c r="B668" s="241" t="s">
        <v>644</v>
      </c>
      <c r="C668" s="241" t="s">
        <v>645</v>
      </c>
      <c r="D668" s="229" t="s">
        <v>627</v>
      </c>
      <c r="E668" s="215" t="s">
        <v>628</v>
      </c>
      <c r="F668" s="215" t="s">
        <v>628</v>
      </c>
      <c r="G668" s="147">
        <v>0.25</v>
      </c>
      <c r="H668" s="147">
        <v>0.25</v>
      </c>
      <c r="I668" s="173" t="s">
        <v>629</v>
      </c>
      <c r="J668" s="217" t="s">
        <v>628</v>
      </c>
      <c r="K668" s="144" t="s">
        <v>519</v>
      </c>
      <c r="L668" s="144" t="s">
        <v>550</v>
      </c>
    </row>
    <row r="669" spans="1:12" x14ac:dyDescent="0.3">
      <c r="A669" s="143">
        <v>56</v>
      </c>
      <c r="B669" s="241" t="s">
        <v>644</v>
      </c>
      <c r="C669" s="241" t="s">
        <v>645</v>
      </c>
      <c r="D669" s="229" t="s">
        <v>627</v>
      </c>
      <c r="E669" s="215" t="s">
        <v>630</v>
      </c>
      <c r="F669" s="215" t="s">
        <v>630</v>
      </c>
      <c r="G669" s="147">
        <v>0.2</v>
      </c>
      <c r="H669" s="147">
        <v>0.2</v>
      </c>
      <c r="I669" s="173" t="s">
        <v>631</v>
      </c>
      <c r="J669" s="217" t="s">
        <v>630</v>
      </c>
      <c r="K669" s="144" t="s">
        <v>519</v>
      </c>
      <c r="L669" s="144" t="s">
        <v>550</v>
      </c>
    </row>
    <row r="670" spans="1:12" x14ac:dyDescent="0.3">
      <c r="A670" s="143">
        <v>56</v>
      </c>
      <c r="B670" s="241" t="s">
        <v>644</v>
      </c>
      <c r="C670" s="241" t="s">
        <v>645</v>
      </c>
      <c r="D670" s="229" t="s">
        <v>627</v>
      </c>
      <c r="E670" s="218" t="s">
        <v>524</v>
      </c>
      <c r="F670" s="218" t="s">
        <v>524</v>
      </c>
      <c r="G670" s="147">
        <v>0.25</v>
      </c>
      <c r="H670" s="147">
        <v>0.25</v>
      </c>
      <c r="I670" s="173">
        <v>0.65</v>
      </c>
      <c r="J670" s="220" t="s">
        <v>524</v>
      </c>
      <c r="K670" s="144" t="s">
        <v>519</v>
      </c>
      <c r="L670" s="144" t="s">
        <v>550</v>
      </c>
    </row>
    <row r="671" spans="1:12" ht="28.8" x14ac:dyDescent="0.3">
      <c r="A671" s="143">
        <v>56</v>
      </c>
      <c r="B671" s="241" t="s">
        <v>644</v>
      </c>
      <c r="C671" s="241" t="s">
        <v>645</v>
      </c>
      <c r="D671" s="229" t="s">
        <v>627</v>
      </c>
      <c r="E671" s="161" t="s">
        <v>632</v>
      </c>
      <c r="F671" s="161" t="s">
        <v>632</v>
      </c>
      <c r="G671" s="147">
        <v>0.15</v>
      </c>
      <c r="H671" s="147">
        <v>0.15</v>
      </c>
      <c r="I671" s="173">
        <v>0.95</v>
      </c>
      <c r="J671" s="144" t="s">
        <v>632</v>
      </c>
      <c r="K671" s="144" t="s">
        <v>519</v>
      </c>
      <c r="L671" s="144" t="s">
        <v>550</v>
      </c>
    </row>
    <row r="672" spans="1:12" ht="28.8" x14ac:dyDescent="0.3">
      <c r="A672" s="143">
        <v>56</v>
      </c>
      <c r="B672" s="241" t="s">
        <v>644</v>
      </c>
      <c r="C672" s="241" t="s">
        <v>645</v>
      </c>
      <c r="D672" s="229" t="s">
        <v>627</v>
      </c>
      <c r="E672" s="215" t="s">
        <v>633</v>
      </c>
      <c r="F672" s="215" t="s">
        <v>633</v>
      </c>
      <c r="G672" s="147">
        <v>0.15</v>
      </c>
      <c r="H672" s="147">
        <v>0.15</v>
      </c>
      <c r="I672" s="169"/>
      <c r="J672" s="217" t="s">
        <v>633</v>
      </c>
      <c r="K672" s="144"/>
      <c r="L672" s="144" t="s">
        <v>550</v>
      </c>
    </row>
    <row r="673" spans="1:12" x14ac:dyDescent="0.3">
      <c r="A673" s="143">
        <v>57</v>
      </c>
      <c r="B673" s="241" t="s">
        <v>646</v>
      </c>
      <c r="C673" s="242" t="s">
        <v>647</v>
      </c>
      <c r="D673" s="229" t="s">
        <v>627</v>
      </c>
      <c r="E673" s="215" t="s">
        <v>628</v>
      </c>
      <c r="F673" s="215" t="s">
        <v>628</v>
      </c>
      <c r="G673" s="147">
        <v>0.25</v>
      </c>
      <c r="H673" s="147">
        <v>0.25</v>
      </c>
      <c r="I673" s="173" t="s">
        <v>629</v>
      </c>
      <c r="J673" s="217" t="s">
        <v>628</v>
      </c>
      <c r="K673" s="144" t="s">
        <v>519</v>
      </c>
      <c r="L673" s="144" t="s">
        <v>550</v>
      </c>
    </row>
    <row r="674" spans="1:12" x14ac:dyDescent="0.3">
      <c r="A674" s="143">
        <v>57</v>
      </c>
      <c r="B674" s="241" t="s">
        <v>646</v>
      </c>
      <c r="C674" s="242" t="s">
        <v>647</v>
      </c>
      <c r="D674" s="229" t="s">
        <v>627</v>
      </c>
      <c r="E674" s="215" t="s">
        <v>630</v>
      </c>
      <c r="F674" s="215" t="s">
        <v>630</v>
      </c>
      <c r="G674" s="147">
        <v>0.2</v>
      </c>
      <c r="H674" s="147">
        <v>0.2</v>
      </c>
      <c r="I674" s="173" t="s">
        <v>631</v>
      </c>
      <c r="J674" s="217" t="s">
        <v>630</v>
      </c>
      <c r="K674" s="144" t="s">
        <v>519</v>
      </c>
      <c r="L674" s="144" t="s">
        <v>550</v>
      </c>
    </row>
    <row r="675" spans="1:12" x14ac:dyDescent="0.3">
      <c r="A675" s="143">
        <v>57</v>
      </c>
      <c r="B675" s="241" t="s">
        <v>646</v>
      </c>
      <c r="C675" s="242" t="s">
        <v>647</v>
      </c>
      <c r="D675" s="229" t="s">
        <v>627</v>
      </c>
      <c r="E675" s="218" t="s">
        <v>524</v>
      </c>
      <c r="F675" s="218" t="s">
        <v>524</v>
      </c>
      <c r="G675" s="147">
        <v>0.25</v>
      </c>
      <c r="H675" s="147">
        <v>0.25</v>
      </c>
      <c r="I675" s="173">
        <v>0.65</v>
      </c>
      <c r="J675" s="220" t="s">
        <v>524</v>
      </c>
      <c r="K675" s="144" t="s">
        <v>519</v>
      </c>
      <c r="L675" s="144" t="s">
        <v>550</v>
      </c>
    </row>
    <row r="676" spans="1:12" ht="28.8" x14ac:dyDescent="0.3">
      <c r="A676" s="143">
        <v>57</v>
      </c>
      <c r="B676" s="241" t="s">
        <v>646</v>
      </c>
      <c r="C676" s="242" t="s">
        <v>647</v>
      </c>
      <c r="D676" s="229" t="s">
        <v>627</v>
      </c>
      <c r="E676" s="161" t="s">
        <v>632</v>
      </c>
      <c r="F676" s="161" t="s">
        <v>632</v>
      </c>
      <c r="G676" s="147">
        <v>0.15</v>
      </c>
      <c r="H676" s="147">
        <v>0.15</v>
      </c>
      <c r="I676" s="173">
        <v>0.95</v>
      </c>
      <c r="J676" s="144" t="s">
        <v>632</v>
      </c>
      <c r="K676" s="144" t="s">
        <v>519</v>
      </c>
      <c r="L676" s="144" t="s">
        <v>550</v>
      </c>
    </row>
    <row r="677" spans="1:12" ht="28.8" x14ac:dyDescent="0.3">
      <c r="A677" s="143">
        <v>57</v>
      </c>
      <c r="B677" s="241" t="s">
        <v>646</v>
      </c>
      <c r="C677" s="242" t="s">
        <v>647</v>
      </c>
      <c r="D677" s="229" t="s">
        <v>627</v>
      </c>
      <c r="E677" s="215" t="s">
        <v>633</v>
      </c>
      <c r="F677" s="215" t="s">
        <v>633</v>
      </c>
      <c r="G677" s="147">
        <v>0.15</v>
      </c>
      <c r="H677" s="147">
        <v>0.15</v>
      </c>
      <c r="I677" s="169"/>
      <c r="J677" s="217" t="s">
        <v>633</v>
      </c>
      <c r="K677" s="144"/>
      <c r="L677" s="144" t="s">
        <v>550</v>
      </c>
    </row>
    <row r="678" spans="1:12" x14ac:dyDescent="0.3">
      <c r="A678" s="143">
        <v>58</v>
      </c>
      <c r="B678" s="241" t="s">
        <v>648</v>
      </c>
      <c r="C678" s="241" t="s">
        <v>649</v>
      </c>
      <c r="D678" s="229" t="s">
        <v>627</v>
      </c>
      <c r="E678" s="215" t="s">
        <v>628</v>
      </c>
      <c r="F678" s="215" t="s">
        <v>628</v>
      </c>
      <c r="G678" s="147">
        <v>0.25</v>
      </c>
      <c r="H678" s="147">
        <v>0.25</v>
      </c>
      <c r="I678" s="173" t="s">
        <v>629</v>
      </c>
      <c r="J678" s="217" t="s">
        <v>628</v>
      </c>
      <c r="K678" s="144" t="s">
        <v>519</v>
      </c>
      <c r="L678" s="144" t="s">
        <v>635</v>
      </c>
    </row>
    <row r="679" spans="1:12" x14ac:dyDescent="0.3">
      <c r="A679" s="143">
        <v>58</v>
      </c>
      <c r="B679" s="241" t="s">
        <v>648</v>
      </c>
      <c r="C679" s="241" t="s">
        <v>649</v>
      </c>
      <c r="D679" s="229" t="s">
        <v>627</v>
      </c>
      <c r="E679" s="215" t="s">
        <v>630</v>
      </c>
      <c r="F679" s="215" t="s">
        <v>630</v>
      </c>
      <c r="G679" s="147">
        <v>0.2</v>
      </c>
      <c r="H679" s="147">
        <v>0.2</v>
      </c>
      <c r="I679" s="173" t="s">
        <v>631</v>
      </c>
      <c r="J679" s="217" t="s">
        <v>630</v>
      </c>
      <c r="K679" s="144" t="s">
        <v>519</v>
      </c>
      <c r="L679" s="144" t="s">
        <v>635</v>
      </c>
    </row>
    <row r="680" spans="1:12" x14ac:dyDescent="0.3">
      <c r="A680" s="143">
        <v>58</v>
      </c>
      <c r="B680" s="241" t="s">
        <v>648</v>
      </c>
      <c r="C680" s="241" t="s">
        <v>649</v>
      </c>
      <c r="D680" s="229" t="s">
        <v>627</v>
      </c>
      <c r="E680" s="218" t="s">
        <v>524</v>
      </c>
      <c r="F680" s="218" t="s">
        <v>524</v>
      </c>
      <c r="G680" s="147">
        <v>0.25</v>
      </c>
      <c r="H680" s="147">
        <v>0.25</v>
      </c>
      <c r="I680" s="173">
        <v>0.65</v>
      </c>
      <c r="J680" s="220" t="s">
        <v>524</v>
      </c>
      <c r="K680" s="144" t="s">
        <v>519</v>
      </c>
      <c r="L680" s="144" t="s">
        <v>635</v>
      </c>
    </row>
    <row r="681" spans="1:12" ht="28.8" x14ac:dyDescent="0.3">
      <c r="A681" s="143">
        <v>58</v>
      </c>
      <c r="B681" s="241" t="s">
        <v>648</v>
      </c>
      <c r="C681" s="241" t="s">
        <v>649</v>
      </c>
      <c r="D681" s="229" t="s">
        <v>627</v>
      </c>
      <c r="E681" s="161" t="s">
        <v>632</v>
      </c>
      <c r="F681" s="161" t="s">
        <v>632</v>
      </c>
      <c r="G681" s="147">
        <v>0.15</v>
      </c>
      <c r="H681" s="147">
        <v>0.15</v>
      </c>
      <c r="I681" s="173">
        <v>0.95</v>
      </c>
      <c r="J681" s="144" t="s">
        <v>632</v>
      </c>
      <c r="K681" s="144" t="s">
        <v>519</v>
      </c>
      <c r="L681" s="144" t="s">
        <v>635</v>
      </c>
    </row>
    <row r="682" spans="1:12" ht="28.8" x14ac:dyDescent="0.3">
      <c r="A682" s="143">
        <v>58</v>
      </c>
      <c r="B682" s="241" t="s">
        <v>648</v>
      </c>
      <c r="C682" s="241" t="s">
        <v>649</v>
      </c>
      <c r="D682" s="229" t="s">
        <v>627</v>
      </c>
      <c r="E682" s="215" t="s">
        <v>633</v>
      </c>
      <c r="F682" s="215" t="s">
        <v>633</v>
      </c>
      <c r="G682" s="147">
        <v>0.15</v>
      </c>
      <c r="H682" s="147">
        <v>0.15</v>
      </c>
      <c r="I682" s="169"/>
      <c r="J682" s="217" t="s">
        <v>633</v>
      </c>
      <c r="K682" s="144"/>
      <c r="L682" s="144" t="s">
        <v>635</v>
      </c>
    </row>
    <row r="683" spans="1:12" x14ac:dyDescent="0.3">
      <c r="A683" s="143">
        <v>59</v>
      </c>
      <c r="B683" s="241" t="s">
        <v>650</v>
      </c>
      <c r="C683" s="241" t="s">
        <v>651</v>
      </c>
      <c r="D683" s="229" t="s">
        <v>627</v>
      </c>
      <c r="E683" s="215" t="s">
        <v>628</v>
      </c>
      <c r="F683" s="215" t="s">
        <v>628</v>
      </c>
      <c r="G683" s="147">
        <v>0.25</v>
      </c>
      <c r="H683" s="147">
        <v>0.25</v>
      </c>
      <c r="I683" s="173" t="s">
        <v>629</v>
      </c>
      <c r="J683" s="217" t="s">
        <v>628</v>
      </c>
      <c r="K683" s="144" t="s">
        <v>519</v>
      </c>
      <c r="L683" s="144" t="s">
        <v>699</v>
      </c>
    </row>
    <row r="684" spans="1:12" x14ac:dyDescent="0.3">
      <c r="A684" s="143">
        <v>59</v>
      </c>
      <c r="B684" s="241" t="s">
        <v>650</v>
      </c>
      <c r="C684" s="241" t="s">
        <v>651</v>
      </c>
      <c r="D684" s="229" t="s">
        <v>627</v>
      </c>
      <c r="E684" s="215" t="s">
        <v>630</v>
      </c>
      <c r="F684" s="215" t="s">
        <v>630</v>
      </c>
      <c r="G684" s="147">
        <v>0.2</v>
      </c>
      <c r="H684" s="147">
        <v>0.2</v>
      </c>
      <c r="I684" s="173" t="s">
        <v>631</v>
      </c>
      <c r="J684" s="217" t="s">
        <v>630</v>
      </c>
      <c r="K684" s="144" t="s">
        <v>519</v>
      </c>
      <c r="L684" s="144" t="s">
        <v>699</v>
      </c>
    </row>
    <row r="685" spans="1:12" x14ac:dyDescent="0.3">
      <c r="A685" s="143">
        <v>59</v>
      </c>
      <c r="B685" s="241" t="s">
        <v>650</v>
      </c>
      <c r="C685" s="241" t="s">
        <v>651</v>
      </c>
      <c r="D685" s="229" t="s">
        <v>627</v>
      </c>
      <c r="E685" s="218" t="s">
        <v>524</v>
      </c>
      <c r="F685" s="218" t="s">
        <v>524</v>
      </c>
      <c r="G685" s="147">
        <v>0.25</v>
      </c>
      <c r="H685" s="147">
        <v>0.25</v>
      </c>
      <c r="I685" s="173">
        <v>0.65</v>
      </c>
      <c r="J685" s="220" t="s">
        <v>524</v>
      </c>
      <c r="K685" s="144" t="s">
        <v>519</v>
      </c>
      <c r="L685" s="144" t="s">
        <v>699</v>
      </c>
    </row>
    <row r="686" spans="1:12" ht="28.8" x14ac:dyDescent="0.3">
      <c r="A686" s="143">
        <v>59</v>
      </c>
      <c r="B686" s="241" t="s">
        <v>650</v>
      </c>
      <c r="C686" s="241" t="s">
        <v>651</v>
      </c>
      <c r="D686" s="229" t="s">
        <v>627</v>
      </c>
      <c r="E686" s="161" t="s">
        <v>632</v>
      </c>
      <c r="F686" s="161" t="s">
        <v>632</v>
      </c>
      <c r="G686" s="147">
        <v>0.15</v>
      </c>
      <c r="H686" s="147">
        <v>0.15</v>
      </c>
      <c r="I686" s="173">
        <v>0.95</v>
      </c>
      <c r="J686" s="144" t="s">
        <v>632</v>
      </c>
      <c r="K686" s="144" t="s">
        <v>519</v>
      </c>
      <c r="L686" s="144" t="s">
        <v>699</v>
      </c>
    </row>
    <row r="687" spans="1:12" ht="28.8" x14ac:dyDescent="0.3">
      <c r="A687" s="143">
        <v>59</v>
      </c>
      <c r="B687" s="241" t="s">
        <v>650</v>
      </c>
      <c r="C687" s="241" t="s">
        <v>651</v>
      </c>
      <c r="D687" s="229" t="s">
        <v>627</v>
      </c>
      <c r="E687" s="215" t="s">
        <v>633</v>
      </c>
      <c r="F687" s="215" t="s">
        <v>633</v>
      </c>
      <c r="G687" s="147">
        <v>0.15</v>
      </c>
      <c r="H687" s="147">
        <v>0.15</v>
      </c>
      <c r="I687" s="169"/>
      <c r="J687" s="217" t="s">
        <v>633</v>
      </c>
      <c r="K687" s="144"/>
      <c r="L687" s="144" t="s">
        <v>699</v>
      </c>
    </row>
    <row r="688" spans="1:12" x14ac:dyDescent="0.3">
      <c r="A688" s="143">
        <v>60</v>
      </c>
      <c r="B688" s="241" t="s">
        <v>652</v>
      </c>
      <c r="C688" s="241" t="s">
        <v>653</v>
      </c>
      <c r="D688" s="229" t="s">
        <v>627</v>
      </c>
      <c r="E688" s="215" t="s">
        <v>628</v>
      </c>
      <c r="F688" s="215" t="s">
        <v>628</v>
      </c>
      <c r="G688" s="147">
        <v>0.25</v>
      </c>
      <c r="H688" s="147">
        <v>0.25</v>
      </c>
      <c r="I688" s="173" t="s">
        <v>629</v>
      </c>
      <c r="J688" s="217" t="s">
        <v>628</v>
      </c>
      <c r="K688" s="144" t="s">
        <v>519</v>
      </c>
      <c r="L688" s="144" t="s">
        <v>639</v>
      </c>
    </row>
    <row r="689" spans="1:12" x14ac:dyDescent="0.3">
      <c r="A689" s="143">
        <v>60</v>
      </c>
      <c r="B689" s="241" t="s">
        <v>652</v>
      </c>
      <c r="C689" s="241" t="s">
        <v>653</v>
      </c>
      <c r="D689" s="229" t="s">
        <v>627</v>
      </c>
      <c r="E689" s="215" t="s">
        <v>630</v>
      </c>
      <c r="F689" s="215" t="s">
        <v>630</v>
      </c>
      <c r="G689" s="147">
        <v>0.2</v>
      </c>
      <c r="H689" s="147">
        <v>0.2</v>
      </c>
      <c r="I689" s="173" t="s">
        <v>631</v>
      </c>
      <c r="J689" s="217" t="s">
        <v>630</v>
      </c>
      <c r="K689" s="144" t="s">
        <v>519</v>
      </c>
      <c r="L689" s="144" t="s">
        <v>639</v>
      </c>
    </row>
    <row r="690" spans="1:12" x14ac:dyDescent="0.3">
      <c r="A690" s="143">
        <v>60</v>
      </c>
      <c r="B690" s="241" t="s">
        <v>652</v>
      </c>
      <c r="C690" s="241" t="s">
        <v>653</v>
      </c>
      <c r="D690" s="229" t="s">
        <v>627</v>
      </c>
      <c r="E690" s="218" t="s">
        <v>524</v>
      </c>
      <c r="F690" s="218" t="s">
        <v>524</v>
      </c>
      <c r="G690" s="147">
        <v>0.25</v>
      </c>
      <c r="H690" s="147">
        <v>0.25</v>
      </c>
      <c r="I690" s="173">
        <v>0.65</v>
      </c>
      <c r="J690" s="220" t="s">
        <v>524</v>
      </c>
      <c r="K690" s="144" t="s">
        <v>519</v>
      </c>
      <c r="L690" s="144" t="s">
        <v>639</v>
      </c>
    </row>
    <row r="691" spans="1:12" ht="28.8" x14ac:dyDescent="0.3">
      <c r="A691" s="143">
        <v>60</v>
      </c>
      <c r="B691" s="241" t="s">
        <v>652</v>
      </c>
      <c r="C691" s="241" t="s">
        <v>653</v>
      </c>
      <c r="D691" s="229" t="s">
        <v>627</v>
      </c>
      <c r="E691" s="161" t="s">
        <v>632</v>
      </c>
      <c r="F691" s="161" t="s">
        <v>632</v>
      </c>
      <c r="G691" s="147">
        <v>0.15</v>
      </c>
      <c r="H691" s="147">
        <v>0.15</v>
      </c>
      <c r="I691" s="173">
        <v>0.95</v>
      </c>
      <c r="J691" s="144" t="s">
        <v>632</v>
      </c>
      <c r="K691" s="144" t="s">
        <v>519</v>
      </c>
      <c r="L691" s="144" t="s">
        <v>639</v>
      </c>
    </row>
    <row r="692" spans="1:12" ht="28.8" x14ac:dyDescent="0.3">
      <c r="A692" s="143">
        <v>60</v>
      </c>
      <c r="B692" s="241" t="s">
        <v>652</v>
      </c>
      <c r="C692" s="241" t="s">
        <v>653</v>
      </c>
      <c r="D692" s="229" t="s">
        <v>627</v>
      </c>
      <c r="E692" s="215" t="s">
        <v>633</v>
      </c>
      <c r="F692" s="215" t="s">
        <v>633</v>
      </c>
      <c r="G692" s="147">
        <v>0.15</v>
      </c>
      <c r="H692" s="147">
        <v>0.15</v>
      </c>
      <c r="I692" s="169"/>
      <c r="J692" s="217" t="s">
        <v>633</v>
      </c>
      <c r="K692" s="144"/>
      <c r="L692" s="144" t="s">
        <v>639</v>
      </c>
    </row>
    <row r="693" spans="1:12" x14ac:dyDescent="0.3">
      <c r="A693" s="143">
        <v>61</v>
      </c>
      <c r="B693" s="241" t="s">
        <v>654</v>
      </c>
      <c r="C693" s="241" t="s">
        <v>655</v>
      </c>
      <c r="D693" s="229" t="s">
        <v>627</v>
      </c>
      <c r="E693" s="215" t="s">
        <v>628</v>
      </c>
      <c r="F693" s="215" t="s">
        <v>628</v>
      </c>
      <c r="G693" s="147">
        <v>0.25</v>
      </c>
      <c r="H693" s="147">
        <v>0.25</v>
      </c>
      <c r="I693" s="173" t="s">
        <v>629</v>
      </c>
      <c r="J693" s="217" t="s">
        <v>628</v>
      </c>
      <c r="K693" s="144" t="s">
        <v>519</v>
      </c>
      <c r="L693" s="144" t="s">
        <v>639</v>
      </c>
    </row>
    <row r="694" spans="1:12" x14ac:dyDescent="0.3">
      <c r="A694" s="143">
        <v>61</v>
      </c>
      <c r="B694" s="241" t="s">
        <v>654</v>
      </c>
      <c r="C694" s="241" t="s">
        <v>655</v>
      </c>
      <c r="D694" s="229" t="s">
        <v>627</v>
      </c>
      <c r="E694" s="215" t="s">
        <v>630</v>
      </c>
      <c r="F694" s="215" t="s">
        <v>630</v>
      </c>
      <c r="G694" s="147">
        <v>0.2</v>
      </c>
      <c r="H694" s="147">
        <v>0.2</v>
      </c>
      <c r="I694" s="173" t="s">
        <v>631</v>
      </c>
      <c r="J694" s="217" t="s">
        <v>630</v>
      </c>
      <c r="K694" s="144" t="s">
        <v>519</v>
      </c>
      <c r="L694" s="144" t="s">
        <v>639</v>
      </c>
    </row>
    <row r="695" spans="1:12" x14ac:dyDescent="0.3">
      <c r="A695" s="143">
        <v>61</v>
      </c>
      <c r="B695" s="241" t="s">
        <v>654</v>
      </c>
      <c r="C695" s="241" t="s">
        <v>655</v>
      </c>
      <c r="D695" s="229" t="s">
        <v>627</v>
      </c>
      <c r="E695" s="218" t="s">
        <v>524</v>
      </c>
      <c r="F695" s="218" t="s">
        <v>524</v>
      </c>
      <c r="G695" s="147">
        <v>0.25</v>
      </c>
      <c r="H695" s="147">
        <v>0.25</v>
      </c>
      <c r="I695" s="173">
        <v>0.65</v>
      </c>
      <c r="J695" s="220" t="s">
        <v>524</v>
      </c>
      <c r="K695" s="144" t="s">
        <v>519</v>
      </c>
      <c r="L695" s="144" t="s">
        <v>639</v>
      </c>
    </row>
    <row r="696" spans="1:12" ht="28.8" x14ac:dyDescent="0.3">
      <c r="A696" s="143">
        <v>61</v>
      </c>
      <c r="B696" s="241" t="s">
        <v>654</v>
      </c>
      <c r="C696" s="241" t="s">
        <v>655</v>
      </c>
      <c r="D696" s="229" t="s">
        <v>627</v>
      </c>
      <c r="E696" s="161" t="s">
        <v>632</v>
      </c>
      <c r="F696" s="161" t="s">
        <v>632</v>
      </c>
      <c r="G696" s="147">
        <v>0.15</v>
      </c>
      <c r="H696" s="147">
        <v>0.15</v>
      </c>
      <c r="I696" s="173">
        <v>0.95</v>
      </c>
      <c r="J696" s="144" t="s">
        <v>632</v>
      </c>
      <c r="K696" s="144" t="s">
        <v>519</v>
      </c>
      <c r="L696" s="144" t="s">
        <v>639</v>
      </c>
    </row>
    <row r="697" spans="1:12" ht="28.8" x14ac:dyDescent="0.3">
      <c r="A697" s="143">
        <v>61</v>
      </c>
      <c r="B697" s="241" t="s">
        <v>654</v>
      </c>
      <c r="C697" s="241" t="s">
        <v>655</v>
      </c>
      <c r="D697" s="229" t="s">
        <v>627</v>
      </c>
      <c r="E697" s="215" t="s">
        <v>633</v>
      </c>
      <c r="F697" s="215" t="s">
        <v>633</v>
      </c>
      <c r="G697" s="147">
        <v>0.15</v>
      </c>
      <c r="H697" s="147">
        <v>0.15</v>
      </c>
      <c r="I697" s="169"/>
      <c r="J697" s="217" t="s">
        <v>633</v>
      </c>
      <c r="K697" s="144"/>
      <c r="L697" s="144" t="s">
        <v>639</v>
      </c>
    </row>
    <row r="698" spans="1:12" x14ac:dyDescent="0.3">
      <c r="A698" s="143">
        <v>62</v>
      </c>
      <c r="B698" s="241" t="s">
        <v>656</v>
      </c>
      <c r="C698" s="241" t="s">
        <v>657</v>
      </c>
      <c r="D698" s="229" t="s">
        <v>627</v>
      </c>
      <c r="E698" s="215" t="s">
        <v>628</v>
      </c>
      <c r="F698" s="215" t="s">
        <v>628</v>
      </c>
      <c r="G698" s="147">
        <v>0.25</v>
      </c>
      <c r="H698" s="147">
        <v>0.25</v>
      </c>
      <c r="I698" s="173" t="s">
        <v>629</v>
      </c>
      <c r="J698" s="217" t="s">
        <v>628</v>
      </c>
      <c r="K698" s="144" t="s">
        <v>519</v>
      </c>
      <c r="L698" s="144" t="s">
        <v>637</v>
      </c>
    </row>
    <row r="699" spans="1:12" x14ac:dyDescent="0.3">
      <c r="A699" s="143">
        <v>62</v>
      </c>
      <c r="B699" s="241" t="s">
        <v>656</v>
      </c>
      <c r="C699" s="241" t="s">
        <v>657</v>
      </c>
      <c r="D699" s="229" t="s">
        <v>627</v>
      </c>
      <c r="E699" s="215" t="s">
        <v>630</v>
      </c>
      <c r="F699" s="215" t="s">
        <v>630</v>
      </c>
      <c r="G699" s="147">
        <v>0.2</v>
      </c>
      <c r="H699" s="147">
        <v>0.2</v>
      </c>
      <c r="I699" s="173" t="s">
        <v>631</v>
      </c>
      <c r="J699" s="217" t="s">
        <v>630</v>
      </c>
      <c r="K699" s="144" t="s">
        <v>519</v>
      </c>
      <c r="L699" s="144" t="s">
        <v>637</v>
      </c>
    </row>
    <row r="700" spans="1:12" x14ac:dyDescent="0.3">
      <c r="A700" s="143">
        <v>62</v>
      </c>
      <c r="B700" s="241" t="s">
        <v>656</v>
      </c>
      <c r="C700" s="241" t="s">
        <v>657</v>
      </c>
      <c r="D700" s="229" t="s">
        <v>627</v>
      </c>
      <c r="E700" s="218" t="s">
        <v>524</v>
      </c>
      <c r="F700" s="218" t="s">
        <v>524</v>
      </c>
      <c r="G700" s="147">
        <v>0.25</v>
      </c>
      <c r="H700" s="147">
        <v>0.25</v>
      </c>
      <c r="I700" s="173">
        <v>0.65</v>
      </c>
      <c r="J700" s="220" t="s">
        <v>524</v>
      </c>
      <c r="K700" s="144" t="s">
        <v>519</v>
      </c>
      <c r="L700" s="144" t="s">
        <v>637</v>
      </c>
    </row>
    <row r="701" spans="1:12" ht="28.8" x14ac:dyDescent="0.3">
      <c r="A701" s="143">
        <v>62</v>
      </c>
      <c r="B701" s="241" t="s">
        <v>656</v>
      </c>
      <c r="C701" s="241" t="s">
        <v>657</v>
      </c>
      <c r="D701" s="229" t="s">
        <v>627</v>
      </c>
      <c r="E701" s="161" t="s">
        <v>632</v>
      </c>
      <c r="F701" s="161" t="s">
        <v>632</v>
      </c>
      <c r="G701" s="147">
        <v>0.15</v>
      </c>
      <c r="H701" s="147">
        <v>0.15</v>
      </c>
      <c r="I701" s="173">
        <v>0.95</v>
      </c>
      <c r="J701" s="144" t="s">
        <v>632</v>
      </c>
      <c r="K701" s="144" t="s">
        <v>519</v>
      </c>
      <c r="L701" s="144" t="s">
        <v>637</v>
      </c>
    </row>
    <row r="702" spans="1:12" ht="28.8" x14ac:dyDescent="0.3">
      <c r="A702" s="143">
        <v>62</v>
      </c>
      <c r="B702" s="241" t="s">
        <v>656</v>
      </c>
      <c r="C702" s="241" t="s">
        <v>657</v>
      </c>
      <c r="D702" s="229" t="s">
        <v>627</v>
      </c>
      <c r="E702" s="215" t="s">
        <v>633</v>
      </c>
      <c r="F702" s="215" t="s">
        <v>633</v>
      </c>
      <c r="G702" s="147">
        <v>0.15</v>
      </c>
      <c r="H702" s="147">
        <v>0.15</v>
      </c>
      <c r="I702" s="169"/>
      <c r="J702" s="217" t="s">
        <v>633</v>
      </c>
      <c r="K702" s="144"/>
      <c r="L702" s="144" t="s">
        <v>637</v>
      </c>
    </row>
    <row r="703" spans="1:12" x14ac:dyDescent="0.3">
      <c r="A703" s="143">
        <v>63</v>
      </c>
      <c r="B703" s="241" t="s">
        <v>658</v>
      </c>
      <c r="C703" s="243" t="s">
        <v>659</v>
      </c>
      <c r="D703" s="229" t="s">
        <v>627</v>
      </c>
      <c r="E703" s="215" t="s">
        <v>628</v>
      </c>
      <c r="F703" s="215" t="s">
        <v>628</v>
      </c>
      <c r="G703" s="147">
        <v>0.25</v>
      </c>
      <c r="H703" s="147">
        <v>0.25</v>
      </c>
      <c r="I703" s="173" t="s">
        <v>629</v>
      </c>
      <c r="J703" s="217" t="s">
        <v>628</v>
      </c>
      <c r="K703" s="144" t="s">
        <v>519</v>
      </c>
      <c r="L703" s="144" t="s">
        <v>699</v>
      </c>
    </row>
    <row r="704" spans="1:12" x14ac:dyDescent="0.3">
      <c r="A704" s="143">
        <v>63</v>
      </c>
      <c r="B704" s="241" t="s">
        <v>658</v>
      </c>
      <c r="C704" s="243" t="s">
        <v>659</v>
      </c>
      <c r="D704" s="229" t="s">
        <v>627</v>
      </c>
      <c r="E704" s="215" t="s">
        <v>630</v>
      </c>
      <c r="F704" s="215" t="s">
        <v>630</v>
      </c>
      <c r="G704" s="147">
        <v>0.2</v>
      </c>
      <c r="H704" s="147">
        <v>0.2</v>
      </c>
      <c r="I704" s="173" t="s">
        <v>631</v>
      </c>
      <c r="J704" s="217" t="s">
        <v>630</v>
      </c>
      <c r="K704" s="144" t="s">
        <v>519</v>
      </c>
      <c r="L704" s="144" t="s">
        <v>699</v>
      </c>
    </row>
    <row r="705" spans="1:12" x14ac:dyDescent="0.3">
      <c r="A705" s="143">
        <v>63</v>
      </c>
      <c r="B705" s="241" t="s">
        <v>658</v>
      </c>
      <c r="C705" s="243" t="s">
        <v>659</v>
      </c>
      <c r="D705" s="229" t="s">
        <v>627</v>
      </c>
      <c r="E705" s="218" t="s">
        <v>524</v>
      </c>
      <c r="F705" s="218" t="s">
        <v>524</v>
      </c>
      <c r="G705" s="147">
        <v>0.25</v>
      </c>
      <c r="H705" s="147">
        <v>0.25</v>
      </c>
      <c r="I705" s="173">
        <v>0.65</v>
      </c>
      <c r="J705" s="220" t="s">
        <v>524</v>
      </c>
      <c r="K705" s="144" t="s">
        <v>519</v>
      </c>
      <c r="L705" s="144" t="s">
        <v>699</v>
      </c>
    </row>
    <row r="706" spans="1:12" ht="28.8" x14ac:dyDescent="0.3">
      <c r="A706" s="143">
        <v>63</v>
      </c>
      <c r="B706" s="241" t="s">
        <v>658</v>
      </c>
      <c r="C706" s="243" t="s">
        <v>659</v>
      </c>
      <c r="D706" s="229" t="s">
        <v>627</v>
      </c>
      <c r="E706" s="161" t="s">
        <v>632</v>
      </c>
      <c r="F706" s="161" t="s">
        <v>632</v>
      </c>
      <c r="G706" s="147">
        <v>0.15</v>
      </c>
      <c r="H706" s="147">
        <v>0.15</v>
      </c>
      <c r="I706" s="173">
        <v>0.95</v>
      </c>
      <c r="J706" s="144" t="s">
        <v>632</v>
      </c>
      <c r="K706" s="144" t="s">
        <v>519</v>
      </c>
      <c r="L706" s="144" t="s">
        <v>699</v>
      </c>
    </row>
    <row r="707" spans="1:12" ht="28.8" x14ac:dyDescent="0.3">
      <c r="A707" s="143">
        <v>63</v>
      </c>
      <c r="B707" s="241" t="s">
        <v>658</v>
      </c>
      <c r="C707" s="243" t="s">
        <v>659</v>
      </c>
      <c r="D707" s="229" t="s">
        <v>627</v>
      </c>
      <c r="E707" s="215" t="s">
        <v>633</v>
      </c>
      <c r="F707" s="215" t="s">
        <v>633</v>
      </c>
      <c r="G707" s="147">
        <v>0.15</v>
      </c>
      <c r="H707" s="147">
        <v>0.15</v>
      </c>
      <c r="I707" s="169"/>
      <c r="J707" s="217" t="s">
        <v>633</v>
      </c>
      <c r="K707" s="144"/>
      <c r="L707" s="144" t="s">
        <v>699</v>
      </c>
    </row>
    <row r="708" spans="1:12" x14ac:dyDescent="0.3">
      <c r="A708" s="143">
        <v>64</v>
      </c>
      <c r="B708" s="243" t="s">
        <v>660</v>
      </c>
      <c r="C708" s="243" t="s">
        <v>661</v>
      </c>
      <c r="D708" s="229" t="s">
        <v>627</v>
      </c>
      <c r="E708" s="215" t="s">
        <v>628</v>
      </c>
      <c r="F708" s="215" t="s">
        <v>628</v>
      </c>
      <c r="G708" s="147">
        <v>0.25</v>
      </c>
      <c r="H708" s="147">
        <v>0.25</v>
      </c>
      <c r="I708" s="173" t="s">
        <v>629</v>
      </c>
      <c r="J708" s="217" t="s">
        <v>628</v>
      </c>
      <c r="K708" s="144" t="s">
        <v>519</v>
      </c>
      <c r="L708" s="144" t="s">
        <v>637</v>
      </c>
    </row>
    <row r="709" spans="1:12" x14ac:dyDescent="0.3">
      <c r="A709" s="143">
        <v>64</v>
      </c>
      <c r="B709" s="243" t="s">
        <v>660</v>
      </c>
      <c r="C709" s="243" t="s">
        <v>661</v>
      </c>
      <c r="D709" s="229" t="s">
        <v>627</v>
      </c>
      <c r="E709" s="215" t="s">
        <v>630</v>
      </c>
      <c r="F709" s="215" t="s">
        <v>630</v>
      </c>
      <c r="G709" s="147">
        <v>0.2</v>
      </c>
      <c r="H709" s="147">
        <v>0.2</v>
      </c>
      <c r="I709" s="173" t="s">
        <v>631</v>
      </c>
      <c r="J709" s="217" t="s">
        <v>630</v>
      </c>
      <c r="K709" s="144" t="s">
        <v>519</v>
      </c>
      <c r="L709" s="144" t="s">
        <v>637</v>
      </c>
    </row>
    <row r="710" spans="1:12" x14ac:dyDescent="0.3">
      <c r="A710" s="143">
        <v>64</v>
      </c>
      <c r="B710" s="243" t="s">
        <v>660</v>
      </c>
      <c r="C710" s="243" t="s">
        <v>661</v>
      </c>
      <c r="D710" s="229" t="s">
        <v>627</v>
      </c>
      <c r="E710" s="218" t="s">
        <v>524</v>
      </c>
      <c r="F710" s="218" t="s">
        <v>524</v>
      </c>
      <c r="G710" s="147">
        <v>0.25</v>
      </c>
      <c r="H710" s="147">
        <v>0.25</v>
      </c>
      <c r="I710" s="173">
        <v>0.65</v>
      </c>
      <c r="J710" s="220" t="s">
        <v>524</v>
      </c>
      <c r="K710" s="144" t="s">
        <v>519</v>
      </c>
      <c r="L710" s="144" t="s">
        <v>637</v>
      </c>
    </row>
    <row r="711" spans="1:12" ht="28.8" x14ac:dyDescent="0.3">
      <c r="A711" s="143">
        <v>64</v>
      </c>
      <c r="B711" s="243" t="s">
        <v>660</v>
      </c>
      <c r="C711" s="243" t="s">
        <v>661</v>
      </c>
      <c r="D711" s="229" t="s">
        <v>627</v>
      </c>
      <c r="E711" s="161" t="s">
        <v>632</v>
      </c>
      <c r="F711" s="161" t="s">
        <v>632</v>
      </c>
      <c r="G711" s="147">
        <v>0.15</v>
      </c>
      <c r="H711" s="147">
        <v>0.15</v>
      </c>
      <c r="I711" s="173">
        <v>0.95</v>
      </c>
      <c r="J711" s="144" t="s">
        <v>632</v>
      </c>
      <c r="K711" s="144" t="s">
        <v>519</v>
      </c>
      <c r="L711" s="144" t="s">
        <v>637</v>
      </c>
    </row>
    <row r="712" spans="1:12" ht="28.8" x14ac:dyDescent="0.3">
      <c r="A712" s="143">
        <v>64</v>
      </c>
      <c r="B712" s="243" t="s">
        <v>660</v>
      </c>
      <c r="C712" s="243" t="s">
        <v>661</v>
      </c>
      <c r="D712" s="229" t="s">
        <v>627</v>
      </c>
      <c r="E712" s="215" t="s">
        <v>633</v>
      </c>
      <c r="F712" s="215" t="s">
        <v>633</v>
      </c>
      <c r="G712" s="147">
        <v>0.15</v>
      </c>
      <c r="H712" s="147">
        <v>0.15</v>
      </c>
      <c r="I712" s="169"/>
      <c r="J712" s="217" t="s">
        <v>633</v>
      </c>
      <c r="K712" s="144"/>
      <c r="L712" s="144" t="s">
        <v>637</v>
      </c>
    </row>
    <row r="713" spans="1:12" x14ac:dyDescent="0.3">
      <c r="A713" s="143">
        <v>65</v>
      </c>
      <c r="B713" s="243" t="s">
        <v>662</v>
      </c>
      <c r="C713" s="243" t="s">
        <v>663</v>
      </c>
      <c r="D713" s="229" t="s">
        <v>627</v>
      </c>
      <c r="E713" s="215" t="s">
        <v>628</v>
      </c>
      <c r="F713" s="215" t="s">
        <v>628</v>
      </c>
      <c r="G713" s="147">
        <v>0.25</v>
      </c>
      <c r="H713" s="147">
        <v>0.25</v>
      </c>
      <c r="I713" s="173" t="s">
        <v>629</v>
      </c>
      <c r="J713" s="217" t="s">
        <v>628</v>
      </c>
      <c r="K713" s="144" t="s">
        <v>519</v>
      </c>
      <c r="L713" s="144" t="s">
        <v>641</v>
      </c>
    </row>
    <row r="714" spans="1:12" x14ac:dyDescent="0.3">
      <c r="A714" s="143">
        <v>65</v>
      </c>
      <c r="B714" s="243" t="s">
        <v>662</v>
      </c>
      <c r="C714" s="243" t="s">
        <v>663</v>
      </c>
      <c r="D714" s="229" t="s">
        <v>627</v>
      </c>
      <c r="E714" s="215" t="s">
        <v>630</v>
      </c>
      <c r="F714" s="215" t="s">
        <v>630</v>
      </c>
      <c r="G714" s="147">
        <v>0.2</v>
      </c>
      <c r="H714" s="147">
        <v>0.2</v>
      </c>
      <c r="I714" s="173" t="s">
        <v>631</v>
      </c>
      <c r="J714" s="217" t="s">
        <v>630</v>
      </c>
      <c r="K714" s="144" t="s">
        <v>519</v>
      </c>
      <c r="L714" s="144" t="s">
        <v>641</v>
      </c>
    </row>
    <row r="715" spans="1:12" x14ac:dyDescent="0.3">
      <c r="A715" s="143">
        <v>65</v>
      </c>
      <c r="B715" s="243" t="s">
        <v>662</v>
      </c>
      <c r="C715" s="243" t="s">
        <v>663</v>
      </c>
      <c r="D715" s="229" t="s">
        <v>627</v>
      </c>
      <c r="E715" s="218" t="s">
        <v>524</v>
      </c>
      <c r="F715" s="218" t="s">
        <v>524</v>
      </c>
      <c r="G715" s="147">
        <v>0.25</v>
      </c>
      <c r="H715" s="147">
        <v>0.25</v>
      </c>
      <c r="I715" s="173">
        <v>0.65</v>
      </c>
      <c r="J715" s="220" t="s">
        <v>524</v>
      </c>
      <c r="K715" s="144" t="s">
        <v>519</v>
      </c>
      <c r="L715" s="144" t="s">
        <v>641</v>
      </c>
    </row>
    <row r="716" spans="1:12" ht="28.8" x14ac:dyDescent="0.3">
      <c r="A716" s="143">
        <v>65</v>
      </c>
      <c r="B716" s="243" t="s">
        <v>662</v>
      </c>
      <c r="C716" s="243" t="s">
        <v>663</v>
      </c>
      <c r="D716" s="229" t="s">
        <v>627</v>
      </c>
      <c r="E716" s="161" t="s">
        <v>632</v>
      </c>
      <c r="F716" s="161" t="s">
        <v>632</v>
      </c>
      <c r="G716" s="147">
        <v>0.15</v>
      </c>
      <c r="H716" s="147">
        <v>0.15</v>
      </c>
      <c r="I716" s="173">
        <v>0.95</v>
      </c>
      <c r="J716" s="144" t="s">
        <v>632</v>
      </c>
      <c r="K716" s="144" t="s">
        <v>519</v>
      </c>
      <c r="L716" s="144" t="s">
        <v>641</v>
      </c>
    </row>
    <row r="717" spans="1:12" ht="28.8" x14ac:dyDescent="0.3">
      <c r="A717" s="143">
        <v>65</v>
      </c>
      <c r="B717" s="243" t="s">
        <v>662</v>
      </c>
      <c r="C717" s="243" t="s">
        <v>663</v>
      </c>
      <c r="D717" s="229" t="s">
        <v>627</v>
      </c>
      <c r="E717" s="215" t="s">
        <v>633</v>
      </c>
      <c r="F717" s="215" t="s">
        <v>633</v>
      </c>
      <c r="G717" s="147">
        <v>0.15</v>
      </c>
      <c r="H717" s="147">
        <v>0.15</v>
      </c>
      <c r="I717" s="169"/>
      <c r="J717" s="217" t="s">
        <v>633</v>
      </c>
      <c r="K717" s="144"/>
      <c r="L717" s="144" t="s">
        <v>641</v>
      </c>
    </row>
    <row r="718" spans="1:12" x14ac:dyDescent="0.3">
      <c r="A718" s="143">
        <v>66</v>
      </c>
      <c r="B718" s="243" t="s">
        <v>664</v>
      </c>
      <c r="C718" s="243" t="s">
        <v>665</v>
      </c>
      <c r="D718" s="229" t="s">
        <v>627</v>
      </c>
      <c r="E718" s="215" t="s">
        <v>628</v>
      </c>
      <c r="F718" s="215" t="s">
        <v>628</v>
      </c>
      <c r="G718" s="147">
        <v>0.25</v>
      </c>
      <c r="H718" s="147">
        <v>0.25</v>
      </c>
      <c r="I718" s="173" t="s">
        <v>629</v>
      </c>
      <c r="J718" s="217" t="s">
        <v>628</v>
      </c>
      <c r="K718" s="144" t="s">
        <v>519</v>
      </c>
      <c r="L718" s="144" t="s">
        <v>643</v>
      </c>
    </row>
    <row r="719" spans="1:12" x14ac:dyDescent="0.3">
      <c r="A719" s="143">
        <v>66</v>
      </c>
      <c r="B719" s="243" t="s">
        <v>664</v>
      </c>
      <c r="C719" s="243" t="s">
        <v>665</v>
      </c>
      <c r="D719" s="229" t="s">
        <v>627</v>
      </c>
      <c r="E719" s="215" t="s">
        <v>630</v>
      </c>
      <c r="F719" s="215" t="s">
        <v>630</v>
      </c>
      <c r="G719" s="147">
        <v>0.2</v>
      </c>
      <c r="H719" s="147">
        <v>0.2</v>
      </c>
      <c r="I719" s="173" t="s">
        <v>631</v>
      </c>
      <c r="J719" s="217" t="s">
        <v>630</v>
      </c>
      <c r="K719" s="144" t="s">
        <v>519</v>
      </c>
      <c r="L719" s="144" t="s">
        <v>643</v>
      </c>
    </row>
    <row r="720" spans="1:12" x14ac:dyDescent="0.3">
      <c r="A720" s="143">
        <v>66</v>
      </c>
      <c r="B720" s="243" t="s">
        <v>664</v>
      </c>
      <c r="C720" s="243" t="s">
        <v>665</v>
      </c>
      <c r="D720" s="229" t="s">
        <v>627</v>
      </c>
      <c r="E720" s="218" t="s">
        <v>524</v>
      </c>
      <c r="F720" s="218" t="s">
        <v>524</v>
      </c>
      <c r="G720" s="147">
        <v>0.25</v>
      </c>
      <c r="H720" s="147">
        <v>0.25</v>
      </c>
      <c r="I720" s="173">
        <v>0.65</v>
      </c>
      <c r="J720" s="220" t="s">
        <v>524</v>
      </c>
      <c r="K720" s="144" t="s">
        <v>519</v>
      </c>
      <c r="L720" s="144" t="s">
        <v>643</v>
      </c>
    </row>
    <row r="721" spans="1:12" ht="28.8" x14ac:dyDescent="0.3">
      <c r="A721" s="143">
        <v>66</v>
      </c>
      <c r="B721" s="243" t="s">
        <v>664</v>
      </c>
      <c r="C721" s="243" t="s">
        <v>665</v>
      </c>
      <c r="D721" s="229" t="s">
        <v>627</v>
      </c>
      <c r="E721" s="161" t="s">
        <v>632</v>
      </c>
      <c r="F721" s="161" t="s">
        <v>632</v>
      </c>
      <c r="G721" s="147">
        <v>0.15</v>
      </c>
      <c r="H721" s="147">
        <v>0.15</v>
      </c>
      <c r="I721" s="173">
        <v>0.95</v>
      </c>
      <c r="J721" s="144" t="s">
        <v>632</v>
      </c>
      <c r="K721" s="144" t="s">
        <v>519</v>
      </c>
      <c r="L721" s="144" t="s">
        <v>643</v>
      </c>
    </row>
    <row r="722" spans="1:12" ht="28.8" x14ac:dyDescent="0.3">
      <c r="A722" s="143">
        <v>66</v>
      </c>
      <c r="B722" s="243" t="s">
        <v>664</v>
      </c>
      <c r="C722" s="243" t="s">
        <v>665</v>
      </c>
      <c r="D722" s="229" t="s">
        <v>627</v>
      </c>
      <c r="E722" s="215" t="s">
        <v>633</v>
      </c>
      <c r="F722" s="215" t="s">
        <v>633</v>
      </c>
      <c r="G722" s="147">
        <v>0.15</v>
      </c>
      <c r="H722" s="147">
        <v>0.15</v>
      </c>
      <c r="I722" s="169"/>
      <c r="J722" s="217" t="s">
        <v>633</v>
      </c>
      <c r="K722" s="144"/>
      <c r="L722" s="144" t="s">
        <v>643</v>
      </c>
    </row>
    <row r="723" spans="1:12" x14ac:dyDescent="0.3">
      <c r="A723" s="143">
        <v>67</v>
      </c>
      <c r="B723" s="243" t="s">
        <v>666</v>
      </c>
      <c r="C723" s="243" t="s">
        <v>667</v>
      </c>
      <c r="D723" s="229" t="s">
        <v>627</v>
      </c>
      <c r="E723" s="215" t="s">
        <v>628</v>
      </c>
      <c r="F723" s="215" t="s">
        <v>628</v>
      </c>
      <c r="G723" s="147">
        <v>0.25</v>
      </c>
      <c r="H723" s="147">
        <v>0.25</v>
      </c>
      <c r="I723" s="173" t="s">
        <v>629</v>
      </c>
      <c r="J723" s="217" t="s">
        <v>628</v>
      </c>
      <c r="K723" s="144" t="s">
        <v>519</v>
      </c>
      <c r="L723" s="144" t="s">
        <v>645</v>
      </c>
    </row>
    <row r="724" spans="1:12" x14ac:dyDescent="0.3">
      <c r="A724" s="143">
        <v>67</v>
      </c>
      <c r="B724" s="243" t="s">
        <v>666</v>
      </c>
      <c r="C724" s="243" t="s">
        <v>667</v>
      </c>
      <c r="D724" s="229" t="s">
        <v>627</v>
      </c>
      <c r="E724" s="215" t="s">
        <v>630</v>
      </c>
      <c r="F724" s="215" t="s">
        <v>630</v>
      </c>
      <c r="G724" s="147">
        <v>0.2</v>
      </c>
      <c r="H724" s="147">
        <v>0.2</v>
      </c>
      <c r="I724" s="173" t="s">
        <v>631</v>
      </c>
      <c r="J724" s="217" t="s">
        <v>630</v>
      </c>
      <c r="K724" s="144" t="s">
        <v>519</v>
      </c>
      <c r="L724" s="144" t="s">
        <v>645</v>
      </c>
    </row>
    <row r="725" spans="1:12" x14ac:dyDescent="0.3">
      <c r="A725" s="143">
        <v>67</v>
      </c>
      <c r="B725" s="243" t="s">
        <v>666</v>
      </c>
      <c r="C725" s="243" t="s">
        <v>667</v>
      </c>
      <c r="D725" s="229" t="s">
        <v>627</v>
      </c>
      <c r="E725" s="218" t="s">
        <v>524</v>
      </c>
      <c r="F725" s="218" t="s">
        <v>524</v>
      </c>
      <c r="G725" s="147">
        <v>0.25</v>
      </c>
      <c r="H725" s="147">
        <v>0.25</v>
      </c>
      <c r="I725" s="173">
        <v>0.65</v>
      </c>
      <c r="J725" s="220" t="s">
        <v>524</v>
      </c>
      <c r="K725" s="144" t="s">
        <v>519</v>
      </c>
      <c r="L725" s="144" t="s">
        <v>645</v>
      </c>
    </row>
    <row r="726" spans="1:12" ht="28.8" x14ac:dyDescent="0.3">
      <c r="A726" s="143">
        <v>67</v>
      </c>
      <c r="B726" s="243" t="s">
        <v>666</v>
      </c>
      <c r="C726" s="243" t="s">
        <v>667</v>
      </c>
      <c r="D726" s="229" t="s">
        <v>627</v>
      </c>
      <c r="E726" s="161" t="s">
        <v>632</v>
      </c>
      <c r="F726" s="161" t="s">
        <v>632</v>
      </c>
      <c r="G726" s="147">
        <v>0.15</v>
      </c>
      <c r="H726" s="147">
        <v>0.15</v>
      </c>
      <c r="I726" s="173">
        <v>0.95</v>
      </c>
      <c r="J726" s="144" t="s">
        <v>632</v>
      </c>
      <c r="K726" s="144" t="s">
        <v>519</v>
      </c>
      <c r="L726" s="144" t="s">
        <v>645</v>
      </c>
    </row>
    <row r="727" spans="1:12" ht="28.8" x14ac:dyDescent="0.3">
      <c r="A727" s="143">
        <v>67</v>
      </c>
      <c r="B727" s="243" t="s">
        <v>666</v>
      </c>
      <c r="C727" s="243" t="s">
        <v>667</v>
      </c>
      <c r="D727" s="229" t="s">
        <v>627</v>
      </c>
      <c r="E727" s="215" t="s">
        <v>633</v>
      </c>
      <c r="F727" s="215" t="s">
        <v>633</v>
      </c>
      <c r="G727" s="147">
        <v>0.15</v>
      </c>
      <c r="H727" s="147">
        <v>0.15</v>
      </c>
      <c r="I727" s="169"/>
      <c r="J727" s="217" t="s">
        <v>633</v>
      </c>
      <c r="K727" s="144"/>
      <c r="L727" s="144" t="s">
        <v>645</v>
      </c>
    </row>
    <row r="728" spans="1:12" x14ac:dyDescent="0.3">
      <c r="A728" s="143">
        <v>68</v>
      </c>
      <c r="B728" s="243" t="s">
        <v>668</v>
      </c>
      <c r="C728" s="243" t="s">
        <v>669</v>
      </c>
      <c r="D728" s="229" t="s">
        <v>627</v>
      </c>
      <c r="E728" s="215" t="s">
        <v>628</v>
      </c>
      <c r="F728" s="215" t="s">
        <v>628</v>
      </c>
      <c r="G728" s="147">
        <v>0.25</v>
      </c>
      <c r="H728" s="147">
        <v>0.25</v>
      </c>
      <c r="I728" s="173" t="s">
        <v>629</v>
      </c>
      <c r="J728" s="217" t="s">
        <v>628</v>
      </c>
      <c r="K728" s="144" t="s">
        <v>519</v>
      </c>
      <c r="L728" s="144" t="s">
        <v>645</v>
      </c>
    </row>
    <row r="729" spans="1:12" x14ac:dyDescent="0.3">
      <c r="A729" s="143">
        <v>68</v>
      </c>
      <c r="B729" s="243" t="s">
        <v>668</v>
      </c>
      <c r="C729" s="243" t="s">
        <v>669</v>
      </c>
      <c r="D729" s="229" t="s">
        <v>627</v>
      </c>
      <c r="E729" s="215" t="s">
        <v>630</v>
      </c>
      <c r="F729" s="215" t="s">
        <v>630</v>
      </c>
      <c r="G729" s="147">
        <v>0.2</v>
      </c>
      <c r="H729" s="147">
        <v>0.2</v>
      </c>
      <c r="I729" s="173" t="s">
        <v>631</v>
      </c>
      <c r="J729" s="217" t="s">
        <v>630</v>
      </c>
      <c r="K729" s="144" t="s">
        <v>519</v>
      </c>
      <c r="L729" s="144" t="s">
        <v>645</v>
      </c>
    </row>
    <row r="730" spans="1:12" x14ac:dyDescent="0.3">
      <c r="A730" s="143">
        <v>68</v>
      </c>
      <c r="B730" s="243" t="s">
        <v>668</v>
      </c>
      <c r="C730" s="243" t="s">
        <v>669</v>
      </c>
      <c r="D730" s="229" t="s">
        <v>627</v>
      </c>
      <c r="E730" s="218" t="s">
        <v>524</v>
      </c>
      <c r="F730" s="218" t="s">
        <v>524</v>
      </c>
      <c r="G730" s="147">
        <v>0.25</v>
      </c>
      <c r="H730" s="147">
        <v>0.25</v>
      </c>
      <c r="I730" s="173">
        <v>0.65</v>
      </c>
      <c r="J730" s="220" t="s">
        <v>524</v>
      </c>
      <c r="K730" s="144" t="s">
        <v>519</v>
      </c>
      <c r="L730" s="144" t="s">
        <v>645</v>
      </c>
    </row>
    <row r="731" spans="1:12" ht="28.8" x14ac:dyDescent="0.3">
      <c r="A731" s="143">
        <v>68</v>
      </c>
      <c r="B731" s="243" t="s">
        <v>668</v>
      </c>
      <c r="C731" s="243" t="s">
        <v>669</v>
      </c>
      <c r="D731" s="229" t="s">
        <v>627</v>
      </c>
      <c r="E731" s="161" t="s">
        <v>632</v>
      </c>
      <c r="F731" s="161" t="s">
        <v>632</v>
      </c>
      <c r="G731" s="147">
        <v>0.15</v>
      </c>
      <c r="H731" s="147">
        <v>0.15</v>
      </c>
      <c r="I731" s="173">
        <v>0.95</v>
      </c>
      <c r="J731" s="144" t="s">
        <v>632</v>
      </c>
      <c r="K731" s="144" t="s">
        <v>519</v>
      </c>
      <c r="L731" s="144" t="s">
        <v>645</v>
      </c>
    </row>
    <row r="732" spans="1:12" ht="28.8" x14ac:dyDescent="0.3">
      <c r="A732" s="143">
        <v>68</v>
      </c>
      <c r="B732" s="243" t="s">
        <v>668</v>
      </c>
      <c r="C732" s="243" t="s">
        <v>669</v>
      </c>
      <c r="D732" s="229" t="s">
        <v>627</v>
      </c>
      <c r="E732" s="215" t="s">
        <v>633</v>
      </c>
      <c r="F732" s="215" t="s">
        <v>633</v>
      </c>
      <c r="G732" s="147">
        <v>0.15</v>
      </c>
      <c r="H732" s="147">
        <v>0.15</v>
      </c>
      <c r="I732" s="169"/>
      <c r="J732" s="217" t="s">
        <v>633</v>
      </c>
      <c r="K732" s="144"/>
      <c r="L732" s="144" t="s">
        <v>645</v>
      </c>
    </row>
    <row r="733" spans="1:12" x14ac:dyDescent="0.3">
      <c r="A733" s="143">
        <v>69</v>
      </c>
      <c r="B733" s="243" t="s">
        <v>670</v>
      </c>
      <c r="C733" s="243" t="s">
        <v>671</v>
      </c>
      <c r="D733" s="229" t="s">
        <v>627</v>
      </c>
      <c r="E733" s="215" t="s">
        <v>628</v>
      </c>
      <c r="F733" s="215" t="s">
        <v>628</v>
      </c>
      <c r="G733" s="147">
        <v>0.25</v>
      </c>
      <c r="H733" s="147">
        <v>0.25</v>
      </c>
      <c r="I733" s="173" t="s">
        <v>629</v>
      </c>
      <c r="J733" s="217" t="s">
        <v>628</v>
      </c>
      <c r="K733" s="144" t="s">
        <v>519</v>
      </c>
      <c r="L733" s="144" t="s">
        <v>699</v>
      </c>
    </row>
    <row r="734" spans="1:12" x14ac:dyDescent="0.3">
      <c r="A734" s="143">
        <v>69</v>
      </c>
      <c r="B734" s="243" t="s">
        <v>670</v>
      </c>
      <c r="C734" s="243" t="s">
        <v>671</v>
      </c>
      <c r="D734" s="229" t="s">
        <v>627</v>
      </c>
      <c r="E734" s="215" t="s">
        <v>630</v>
      </c>
      <c r="F734" s="215" t="s">
        <v>630</v>
      </c>
      <c r="G734" s="147">
        <v>0.2</v>
      </c>
      <c r="H734" s="147">
        <v>0.2</v>
      </c>
      <c r="I734" s="173" t="s">
        <v>631</v>
      </c>
      <c r="J734" s="217" t="s">
        <v>630</v>
      </c>
      <c r="K734" s="144" t="s">
        <v>519</v>
      </c>
      <c r="L734" s="144" t="s">
        <v>699</v>
      </c>
    </row>
    <row r="735" spans="1:12" x14ac:dyDescent="0.3">
      <c r="A735" s="143">
        <v>69</v>
      </c>
      <c r="B735" s="243" t="s">
        <v>670</v>
      </c>
      <c r="C735" s="243" t="s">
        <v>671</v>
      </c>
      <c r="D735" s="229" t="s">
        <v>627</v>
      </c>
      <c r="E735" s="218" t="s">
        <v>524</v>
      </c>
      <c r="F735" s="218" t="s">
        <v>524</v>
      </c>
      <c r="G735" s="147">
        <v>0.25</v>
      </c>
      <c r="H735" s="147">
        <v>0.25</v>
      </c>
      <c r="I735" s="173">
        <v>0.65</v>
      </c>
      <c r="J735" s="220" t="s">
        <v>524</v>
      </c>
      <c r="K735" s="144" t="s">
        <v>519</v>
      </c>
      <c r="L735" s="144" t="s">
        <v>699</v>
      </c>
    </row>
    <row r="736" spans="1:12" ht="28.8" x14ac:dyDescent="0.3">
      <c r="A736" s="143">
        <v>69</v>
      </c>
      <c r="B736" s="243" t="s">
        <v>670</v>
      </c>
      <c r="C736" s="243" t="s">
        <v>671</v>
      </c>
      <c r="D736" s="229" t="s">
        <v>627</v>
      </c>
      <c r="E736" s="161" t="s">
        <v>632</v>
      </c>
      <c r="F736" s="161" t="s">
        <v>632</v>
      </c>
      <c r="G736" s="147">
        <v>0.15</v>
      </c>
      <c r="H736" s="147">
        <v>0.15</v>
      </c>
      <c r="I736" s="173">
        <v>0.95</v>
      </c>
      <c r="J736" s="144" t="s">
        <v>632</v>
      </c>
      <c r="K736" s="144" t="s">
        <v>519</v>
      </c>
      <c r="L736" s="144" t="s">
        <v>699</v>
      </c>
    </row>
    <row r="737" spans="1:12" ht="28.8" x14ac:dyDescent="0.3">
      <c r="A737" s="143">
        <v>69</v>
      </c>
      <c r="B737" s="243" t="s">
        <v>670</v>
      </c>
      <c r="C737" s="243" t="s">
        <v>671</v>
      </c>
      <c r="D737" s="229" t="s">
        <v>627</v>
      </c>
      <c r="E737" s="215" t="s">
        <v>633</v>
      </c>
      <c r="F737" s="215" t="s">
        <v>633</v>
      </c>
      <c r="G737" s="147">
        <v>0.15</v>
      </c>
      <c r="H737" s="147">
        <v>0.15</v>
      </c>
      <c r="I737" s="169"/>
      <c r="J737" s="217" t="s">
        <v>633</v>
      </c>
      <c r="K737" s="144"/>
      <c r="L737" s="144" t="s">
        <v>699</v>
      </c>
    </row>
    <row r="738" spans="1:12" x14ac:dyDescent="0.3">
      <c r="A738" s="143">
        <v>70</v>
      </c>
      <c r="B738" s="243" t="s">
        <v>672</v>
      </c>
      <c r="C738" s="243" t="s">
        <v>673</v>
      </c>
      <c r="D738" s="229" t="s">
        <v>627</v>
      </c>
      <c r="E738" s="215" t="s">
        <v>628</v>
      </c>
      <c r="F738" s="215" t="s">
        <v>628</v>
      </c>
      <c r="G738" s="147">
        <v>0.25</v>
      </c>
      <c r="H738" s="147">
        <v>0.25</v>
      </c>
      <c r="I738" s="173" t="s">
        <v>629</v>
      </c>
      <c r="J738" s="217" t="s">
        <v>628</v>
      </c>
      <c r="K738" s="144" t="s">
        <v>519</v>
      </c>
      <c r="L738" s="144" t="s">
        <v>641</v>
      </c>
    </row>
    <row r="739" spans="1:12" x14ac:dyDescent="0.3">
      <c r="A739" s="143">
        <v>70</v>
      </c>
      <c r="B739" s="243" t="s">
        <v>672</v>
      </c>
      <c r="C739" s="243" t="s">
        <v>673</v>
      </c>
      <c r="D739" s="229" t="s">
        <v>627</v>
      </c>
      <c r="E739" s="215" t="s">
        <v>630</v>
      </c>
      <c r="F739" s="215" t="s">
        <v>630</v>
      </c>
      <c r="G739" s="147">
        <v>0.2</v>
      </c>
      <c r="H739" s="147">
        <v>0.2</v>
      </c>
      <c r="I739" s="173" t="s">
        <v>631</v>
      </c>
      <c r="J739" s="217" t="s">
        <v>630</v>
      </c>
      <c r="K739" s="144" t="s">
        <v>519</v>
      </c>
      <c r="L739" s="144" t="s">
        <v>641</v>
      </c>
    </row>
    <row r="740" spans="1:12" x14ac:dyDescent="0.3">
      <c r="A740" s="143">
        <v>70</v>
      </c>
      <c r="B740" s="243" t="s">
        <v>672</v>
      </c>
      <c r="C740" s="243" t="s">
        <v>673</v>
      </c>
      <c r="D740" s="229" t="s">
        <v>627</v>
      </c>
      <c r="E740" s="218" t="s">
        <v>524</v>
      </c>
      <c r="F740" s="218" t="s">
        <v>524</v>
      </c>
      <c r="G740" s="147">
        <v>0.25</v>
      </c>
      <c r="H740" s="147">
        <v>0.25</v>
      </c>
      <c r="I740" s="173">
        <v>0.65</v>
      </c>
      <c r="J740" s="220" t="s">
        <v>524</v>
      </c>
      <c r="K740" s="144" t="s">
        <v>519</v>
      </c>
      <c r="L740" s="144" t="s">
        <v>641</v>
      </c>
    </row>
    <row r="741" spans="1:12" ht="28.8" x14ac:dyDescent="0.3">
      <c r="A741" s="143">
        <v>70</v>
      </c>
      <c r="B741" s="243" t="s">
        <v>672</v>
      </c>
      <c r="C741" s="243" t="s">
        <v>673</v>
      </c>
      <c r="D741" s="229" t="s">
        <v>627</v>
      </c>
      <c r="E741" s="161" t="s">
        <v>632</v>
      </c>
      <c r="F741" s="161" t="s">
        <v>632</v>
      </c>
      <c r="G741" s="147">
        <v>0.15</v>
      </c>
      <c r="H741" s="147">
        <v>0.15</v>
      </c>
      <c r="I741" s="173">
        <v>0.95</v>
      </c>
      <c r="J741" s="144" t="s">
        <v>632</v>
      </c>
      <c r="K741" s="144" t="s">
        <v>519</v>
      </c>
      <c r="L741" s="144" t="s">
        <v>641</v>
      </c>
    </row>
    <row r="742" spans="1:12" ht="28.8" x14ac:dyDescent="0.3">
      <c r="A742" s="143">
        <v>70</v>
      </c>
      <c r="B742" s="243" t="s">
        <v>672</v>
      </c>
      <c r="C742" s="243" t="s">
        <v>673</v>
      </c>
      <c r="D742" s="229" t="s">
        <v>627</v>
      </c>
      <c r="E742" s="215" t="s">
        <v>633</v>
      </c>
      <c r="F742" s="215" t="s">
        <v>633</v>
      </c>
      <c r="G742" s="147">
        <v>0.15</v>
      </c>
      <c r="H742" s="147">
        <v>0.15</v>
      </c>
      <c r="I742" s="169"/>
      <c r="J742" s="217" t="s">
        <v>633</v>
      </c>
      <c r="K742" s="144"/>
      <c r="L742" s="144" t="s">
        <v>641</v>
      </c>
    </row>
    <row r="743" spans="1:12" x14ac:dyDescent="0.3">
      <c r="A743" s="143">
        <v>71</v>
      </c>
      <c r="B743" s="243" t="s">
        <v>674</v>
      </c>
      <c r="C743" s="243" t="s">
        <v>675</v>
      </c>
      <c r="D743" s="229" t="s">
        <v>627</v>
      </c>
      <c r="E743" s="215" t="s">
        <v>628</v>
      </c>
      <c r="F743" s="215" t="s">
        <v>628</v>
      </c>
      <c r="G743" s="147">
        <v>0.25</v>
      </c>
      <c r="H743" s="147">
        <v>0.25</v>
      </c>
      <c r="I743" s="173" t="s">
        <v>629</v>
      </c>
      <c r="J743" s="217" t="s">
        <v>628</v>
      </c>
      <c r="K743" s="144" t="s">
        <v>519</v>
      </c>
      <c r="L743" s="144" t="s">
        <v>643</v>
      </c>
    </row>
    <row r="744" spans="1:12" x14ac:dyDescent="0.3">
      <c r="A744" s="143">
        <v>71</v>
      </c>
      <c r="B744" s="243" t="s">
        <v>674</v>
      </c>
      <c r="C744" s="243" t="s">
        <v>675</v>
      </c>
      <c r="D744" s="229" t="s">
        <v>627</v>
      </c>
      <c r="E744" s="215" t="s">
        <v>630</v>
      </c>
      <c r="F744" s="215" t="s">
        <v>630</v>
      </c>
      <c r="G744" s="147">
        <v>0.2</v>
      </c>
      <c r="H744" s="147">
        <v>0.2</v>
      </c>
      <c r="I744" s="173" t="s">
        <v>631</v>
      </c>
      <c r="J744" s="217" t="s">
        <v>630</v>
      </c>
      <c r="K744" s="144" t="s">
        <v>519</v>
      </c>
      <c r="L744" s="144" t="s">
        <v>643</v>
      </c>
    </row>
    <row r="745" spans="1:12" x14ac:dyDescent="0.3">
      <c r="A745" s="143">
        <v>71</v>
      </c>
      <c r="B745" s="243" t="s">
        <v>674</v>
      </c>
      <c r="C745" s="243" t="s">
        <v>675</v>
      </c>
      <c r="D745" s="229" t="s">
        <v>627</v>
      </c>
      <c r="E745" s="218" t="s">
        <v>524</v>
      </c>
      <c r="F745" s="218" t="s">
        <v>524</v>
      </c>
      <c r="G745" s="147">
        <v>0.25</v>
      </c>
      <c r="H745" s="147">
        <v>0.25</v>
      </c>
      <c r="I745" s="173">
        <v>0.65</v>
      </c>
      <c r="J745" s="220" t="s">
        <v>524</v>
      </c>
      <c r="K745" s="144" t="s">
        <v>519</v>
      </c>
      <c r="L745" s="144" t="s">
        <v>643</v>
      </c>
    </row>
    <row r="746" spans="1:12" ht="28.8" x14ac:dyDescent="0.3">
      <c r="A746" s="143">
        <v>71</v>
      </c>
      <c r="B746" s="243" t="s">
        <v>674</v>
      </c>
      <c r="C746" s="243" t="s">
        <v>675</v>
      </c>
      <c r="D746" s="229" t="s">
        <v>627</v>
      </c>
      <c r="E746" s="161" t="s">
        <v>632</v>
      </c>
      <c r="F746" s="161" t="s">
        <v>632</v>
      </c>
      <c r="G746" s="147">
        <v>0.15</v>
      </c>
      <c r="H746" s="147">
        <v>0.15</v>
      </c>
      <c r="I746" s="173">
        <v>0.95</v>
      </c>
      <c r="J746" s="144" t="s">
        <v>632</v>
      </c>
      <c r="K746" s="144" t="s">
        <v>519</v>
      </c>
      <c r="L746" s="144" t="s">
        <v>643</v>
      </c>
    </row>
    <row r="747" spans="1:12" ht="28.8" x14ac:dyDescent="0.3">
      <c r="A747" s="143">
        <v>71</v>
      </c>
      <c r="B747" s="243" t="s">
        <v>674</v>
      </c>
      <c r="C747" s="243" t="s">
        <v>675</v>
      </c>
      <c r="D747" s="229" t="s">
        <v>627</v>
      </c>
      <c r="E747" s="215" t="s">
        <v>633</v>
      </c>
      <c r="F747" s="215" t="s">
        <v>633</v>
      </c>
      <c r="G747" s="147">
        <v>0.15</v>
      </c>
      <c r="H747" s="147">
        <v>0.15</v>
      </c>
      <c r="I747" s="169"/>
      <c r="J747" s="217" t="s">
        <v>633</v>
      </c>
      <c r="K747" s="144"/>
      <c r="L747" s="144" t="s">
        <v>643</v>
      </c>
    </row>
    <row r="748" spans="1:12" x14ac:dyDescent="0.3">
      <c r="A748" s="143">
        <v>72</v>
      </c>
      <c r="B748" s="243" t="s">
        <v>676</v>
      </c>
      <c r="C748" s="243" t="s">
        <v>677</v>
      </c>
      <c r="D748" s="229" t="s">
        <v>627</v>
      </c>
      <c r="E748" s="215" t="s">
        <v>628</v>
      </c>
      <c r="F748" s="215" t="s">
        <v>628</v>
      </c>
      <c r="G748" s="147">
        <v>0.25</v>
      </c>
      <c r="H748" s="147">
        <v>0.25</v>
      </c>
      <c r="I748" s="173" t="s">
        <v>629</v>
      </c>
      <c r="J748" s="217" t="s">
        <v>628</v>
      </c>
      <c r="K748" s="144" t="s">
        <v>519</v>
      </c>
      <c r="L748" s="144" t="s">
        <v>637</v>
      </c>
    </row>
    <row r="749" spans="1:12" x14ac:dyDescent="0.3">
      <c r="A749" s="143">
        <v>72</v>
      </c>
      <c r="B749" s="243" t="s">
        <v>676</v>
      </c>
      <c r="C749" s="243" t="s">
        <v>677</v>
      </c>
      <c r="D749" s="229" t="s">
        <v>627</v>
      </c>
      <c r="E749" s="215" t="s">
        <v>630</v>
      </c>
      <c r="F749" s="215" t="s">
        <v>630</v>
      </c>
      <c r="G749" s="147">
        <v>0.2</v>
      </c>
      <c r="H749" s="147">
        <v>0.2</v>
      </c>
      <c r="I749" s="173" t="s">
        <v>631</v>
      </c>
      <c r="J749" s="217" t="s">
        <v>630</v>
      </c>
      <c r="K749" s="144" t="s">
        <v>519</v>
      </c>
      <c r="L749" s="144" t="s">
        <v>637</v>
      </c>
    </row>
    <row r="750" spans="1:12" x14ac:dyDescent="0.3">
      <c r="A750" s="143">
        <v>72</v>
      </c>
      <c r="B750" s="243" t="s">
        <v>676</v>
      </c>
      <c r="C750" s="243" t="s">
        <v>677</v>
      </c>
      <c r="D750" s="229" t="s">
        <v>627</v>
      </c>
      <c r="E750" s="218" t="s">
        <v>524</v>
      </c>
      <c r="F750" s="218" t="s">
        <v>524</v>
      </c>
      <c r="G750" s="147">
        <v>0.25</v>
      </c>
      <c r="H750" s="147">
        <v>0.25</v>
      </c>
      <c r="I750" s="173">
        <v>0.65</v>
      </c>
      <c r="J750" s="220" t="s">
        <v>524</v>
      </c>
      <c r="K750" s="144" t="s">
        <v>519</v>
      </c>
      <c r="L750" s="144" t="s">
        <v>637</v>
      </c>
    </row>
    <row r="751" spans="1:12" ht="28.8" x14ac:dyDescent="0.3">
      <c r="A751" s="143">
        <v>72</v>
      </c>
      <c r="B751" s="243" t="s">
        <v>676</v>
      </c>
      <c r="C751" s="243" t="s">
        <v>677</v>
      </c>
      <c r="D751" s="229" t="s">
        <v>627</v>
      </c>
      <c r="E751" s="161" t="s">
        <v>632</v>
      </c>
      <c r="F751" s="161" t="s">
        <v>632</v>
      </c>
      <c r="G751" s="147">
        <v>0.15</v>
      </c>
      <c r="H751" s="147">
        <v>0.15</v>
      </c>
      <c r="I751" s="173">
        <v>0.95</v>
      </c>
      <c r="J751" s="144" t="s">
        <v>632</v>
      </c>
      <c r="K751" s="144" t="s">
        <v>519</v>
      </c>
      <c r="L751" s="144" t="s">
        <v>637</v>
      </c>
    </row>
    <row r="752" spans="1:12" ht="28.8" x14ac:dyDescent="0.3">
      <c r="A752" s="143">
        <v>72</v>
      </c>
      <c r="B752" s="243" t="s">
        <v>676</v>
      </c>
      <c r="C752" s="243" t="s">
        <v>677</v>
      </c>
      <c r="D752" s="229" t="s">
        <v>627</v>
      </c>
      <c r="E752" s="215" t="s">
        <v>633</v>
      </c>
      <c r="F752" s="215" t="s">
        <v>633</v>
      </c>
      <c r="G752" s="147">
        <v>0.15</v>
      </c>
      <c r="H752" s="147">
        <v>0.15</v>
      </c>
      <c r="I752" s="169"/>
      <c r="J752" s="217" t="s">
        <v>633</v>
      </c>
      <c r="K752" s="144"/>
      <c r="L752" s="144" t="s">
        <v>637</v>
      </c>
    </row>
    <row r="753" spans="1:12" x14ac:dyDescent="0.3">
      <c r="A753" s="143">
        <v>73</v>
      </c>
      <c r="B753" s="243" t="s">
        <v>678</v>
      </c>
      <c r="C753" s="243" t="s">
        <v>679</v>
      </c>
      <c r="D753" s="229" t="s">
        <v>627</v>
      </c>
      <c r="E753" s="215" t="s">
        <v>628</v>
      </c>
      <c r="F753" s="215" t="s">
        <v>628</v>
      </c>
      <c r="G753" s="147">
        <v>0.25</v>
      </c>
      <c r="H753" s="147">
        <v>0.25</v>
      </c>
      <c r="I753" s="173" t="s">
        <v>629</v>
      </c>
      <c r="J753" s="217" t="s">
        <v>628</v>
      </c>
      <c r="K753" s="144" t="s">
        <v>519</v>
      </c>
      <c r="L753" s="144" t="s">
        <v>635</v>
      </c>
    </row>
    <row r="754" spans="1:12" x14ac:dyDescent="0.3">
      <c r="A754" s="143">
        <v>73</v>
      </c>
      <c r="B754" s="243" t="s">
        <v>678</v>
      </c>
      <c r="C754" s="243" t="s">
        <v>679</v>
      </c>
      <c r="D754" s="229" t="s">
        <v>627</v>
      </c>
      <c r="E754" s="215" t="s">
        <v>630</v>
      </c>
      <c r="F754" s="215" t="s">
        <v>630</v>
      </c>
      <c r="G754" s="147">
        <v>0.2</v>
      </c>
      <c r="H754" s="147">
        <v>0.2</v>
      </c>
      <c r="I754" s="173" t="s">
        <v>631</v>
      </c>
      <c r="J754" s="217" t="s">
        <v>630</v>
      </c>
      <c r="K754" s="144" t="s">
        <v>519</v>
      </c>
      <c r="L754" s="144" t="s">
        <v>635</v>
      </c>
    </row>
    <row r="755" spans="1:12" x14ac:dyDescent="0.3">
      <c r="A755" s="143">
        <v>73</v>
      </c>
      <c r="B755" s="243" t="s">
        <v>678</v>
      </c>
      <c r="C755" s="243" t="s">
        <v>679</v>
      </c>
      <c r="D755" s="229" t="s">
        <v>627</v>
      </c>
      <c r="E755" s="218" t="s">
        <v>524</v>
      </c>
      <c r="F755" s="218" t="s">
        <v>524</v>
      </c>
      <c r="G755" s="147">
        <v>0.25</v>
      </c>
      <c r="H755" s="147">
        <v>0.25</v>
      </c>
      <c r="I755" s="173">
        <v>0.65</v>
      </c>
      <c r="J755" s="220" t="s">
        <v>524</v>
      </c>
      <c r="K755" s="144" t="s">
        <v>519</v>
      </c>
      <c r="L755" s="144" t="s">
        <v>635</v>
      </c>
    </row>
    <row r="756" spans="1:12" ht="28.8" x14ac:dyDescent="0.3">
      <c r="A756" s="143">
        <v>73</v>
      </c>
      <c r="B756" s="243" t="s">
        <v>678</v>
      </c>
      <c r="C756" s="243" t="s">
        <v>679</v>
      </c>
      <c r="D756" s="229" t="s">
        <v>627</v>
      </c>
      <c r="E756" s="161" t="s">
        <v>632</v>
      </c>
      <c r="F756" s="161" t="s">
        <v>632</v>
      </c>
      <c r="G756" s="147">
        <v>0.15</v>
      </c>
      <c r="H756" s="147">
        <v>0.15</v>
      </c>
      <c r="I756" s="173">
        <v>0.95</v>
      </c>
      <c r="J756" s="144" t="s">
        <v>632</v>
      </c>
      <c r="K756" s="144" t="s">
        <v>519</v>
      </c>
      <c r="L756" s="144" t="s">
        <v>635</v>
      </c>
    </row>
    <row r="757" spans="1:12" ht="28.8" x14ac:dyDescent="0.3">
      <c r="A757" s="143">
        <v>73</v>
      </c>
      <c r="B757" s="243" t="s">
        <v>678</v>
      </c>
      <c r="C757" s="243" t="s">
        <v>679</v>
      </c>
      <c r="D757" s="229" t="s">
        <v>627</v>
      </c>
      <c r="E757" s="215" t="s">
        <v>633</v>
      </c>
      <c r="F757" s="215" t="s">
        <v>633</v>
      </c>
      <c r="G757" s="147">
        <v>0.15</v>
      </c>
      <c r="H757" s="147">
        <v>0.15</v>
      </c>
      <c r="I757" s="169"/>
      <c r="J757" s="217" t="s">
        <v>633</v>
      </c>
      <c r="K757" s="144"/>
      <c r="L757" s="144" t="s">
        <v>635</v>
      </c>
    </row>
    <row r="758" spans="1:12" x14ac:dyDescent="0.3">
      <c r="A758" s="143">
        <v>74</v>
      </c>
      <c r="B758" s="243" t="s">
        <v>680</v>
      </c>
      <c r="C758" s="243" t="s">
        <v>681</v>
      </c>
      <c r="D758" s="229" t="s">
        <v>627</v>
      </c>
      <c r="E758" s="215" t="s">
        <v>628</v>
      </c>
      <c r="F758" s="215" t="s">
        <v>628</v>
      </c>
      <c r="G758" s="147">
        <v>0.25</v>
      </c>
      <c r="H758" s="147">
        <v>0.25</v>
      </c>
      <c r="I758" s="173" t="s">
        <v>629</v>
      </c>
      <c r="J758" s="217" t="s">
        <v>628</v>
      </c>
      <c r="K758" s="144" t="s">
        <v>519</v>
      </c>
      <c r="L758" s="144" t="s">
        <v>639</v>
      </c>
    </row>
    <row r="759" spans="1:12" x14ac:dyDescent="0.3">
      <c r="A759" s="143">
        <v>74</v>
      </c>
      <c r="B759" s="243" t="s">
        <v>680</v>
      </c>
      <c r="C759" s="243" t="s">
        <v>681</v>
      </c>
      <c r="D759" s="229" t="s">
        <v>627</v>
      </c>
      <c r="E759" s="215" t="s">
        <v>630</v>
      </c>
      <c r="F759" s="215" t="s">
        <v>630</v>
      </c>
      <c r="G759" s="147">
        <v>0.2</v>
      </c>
      <c r="H759" s="147">
        <v>0.2</v>
      </c>
      <c r="I759" s="173" t="s">
        <v>631</v>
      </c>
      <c r="J759" s="217" t="s">
        <v>630</v>
      </c>
      <c r="K759" s="144" t="s">
        <v>519</v>
      </c>
      <c r="L759" s="144" t="s">
        <v>639</v>
      </c>
    </row>
    <row r="760" spans="1:12" x14ac:dyDescent="0.3">
      <c r="A760" s="143">
        <v>74</v>
      </c>
      <c r="B760" s="243" t="s">
        <v>680</v>
      </c>
      <c r="C760" s="243" t="s">
        <v>681</v>
      </c>
      <c r="D760" s="229" t="s">
        <v>627</v>
      </c>
      <c r="E760" s="218" t="s">
        <v>524</v>
      </c>
      <c r="F760" s="218" t="s">
        <v>524</v>
      </c>
      <c r="G760" s="147">
        <v>0.25</v>
      </c>
      <c r="H760" s="147">
        <v>0.25</v>
      </c>
      <c r="I760" s="173">
        <v>0.65</v>
      </c>
      <c r="J760" s="220" t="s">
        <v>524</v>
      </c>
      <c r="K760" s="144" t="s">
        <v>519</v>
      </c>
      <c r="L760" s="144" t="s">
        <v>639</v>
      </c>
    </row>
    <row r="761" spans="1:12" ht="28.8" x14ac:dyDescent="0.3">
      <c r="A761" s="143">
        <v>74</v>
      </c>
      <c r="B761" s="243" t="s">
        <v>680</v>
      </c>
      <c r="C761" s="243" t="s">
        <v>681</v>
      </c>
      <c r="D761" s="229" t="s">
        <v>627</v>
      </c>
      <c r="E761" s="161" t="s">
        <v>632</v>
      </c>
      <c r="F761" s="161" t="s">
        <v>632</v>
      </c>
      <c r="G761" s="147">
        <v>0.15</v>
      </c>
      <c r="H761" s="147">
        <v>0.15</v>
      </c>
      <c r="I761" s="173">
        <v>0.95</v>
      </c>
      <c r="J761" s="144" t="s">
        <v>632</v>
      </c>
      <c r="K761" s="144" t="s">
        <v>519</v>
      </c>
      <c r="L761" s="144" t="s">
        <v>639</v>
      </c>
    </row>
    <row r="762" spans="1:12" ht="28.8" x14ac:dyDescent="0.3">
      <c r="A762" s="143">
        <v>74</v>
      </c>
      <c r="B762" s="243" t="s">
        <v>680</v>
      </c>
      <c r="C762" s="243" t="s">
        <v>681</v>
      </c>
      <c r="D762" s="229" t="s">
        <v>627</v>
      </c>
      <c r="E762" s="215" t="s">
        <v>633</v>
      </c>
      <c r="F762" s="215" t="s">
        <v>633</v>
      </c>
      <c r="G762" s="147">
        <v>0.15</v>
      </c>
      <c r="H762" s="147">
        <v>0.15</v>
      </c>
      <c r="I762" s="169"/>
      <c r="J762" s="217" t="s">
        <v>633</v>
      </c>
      <c r="K762" s="144"/>
      <c r="L762" s="144" t="s">
        <v>639</v>
      </c>
    </row>
    <row r="763" spans="1:12" x14ac:dyDescent="0.3">
      <c r="A763" s="143">
        <v>75</v>
      </c>
      <c r="B763" s="243" t="s">
        <v>682</v>
      </c>
      <c r="C763" s="243" t="s">
        <v>683</v>
      </c>
      <c r="D763" s="229" t="s">
        <v>627</v>
      </c>
      <c r="E763" s="215" t="s">
        <v>628</v>
      </c>
      <c r="F763" s="215" t="s">
        <v>628</v>
      </c>
      <c r="G763" s="147">
        <v>0.25</v>
      </c>
      <c r="H763" s="147">
        <v>0.25</v>
      </c>
      <c r="I763" s="173" t="s">
        <v>629</v>
      </c>
      <c r="J763" s="217" t="s">
        <v>628</v>
      </c>
      <c r="K763" s="144" t="s">
        <v>519</v>
      </c>
      <c r="L763" s="144" t="s">
        <v>643</v>
      </c>
    </row>
    <row r="764" spans="1:12" x14ac:dyDescent="0.3">
      <c r="A764" s="143">
        <v>75</v>
      </c>
      <c r="B764" s="243" t="s">
        <v>682</v>
      </c>
      <c r="C764" s="243" t="s">
        <v>683</v>
      </c>
      <c r="D764" s="229" t="s">
        <v>627</v>
      </c>
      <c r="E764" s="215" t="s">
        <v>630</v>
      </c>
      <c r="F764" s="215" t="s">
        <v>630</v>
      </c>
      <c r="G764" s="147">
        <v>0.2</v>
      </c>
      <c r="H764" s="147">
        <v>0.2</v>
      </c>
      <c r="I764" s="173" t="s">
        <v>631</v>
      </c>
      <c r="J764" s="217" t="s">
        <v>630</v>
      </c>
      <c r="K764" s="144" t="s">
        <v>519</v>
      </c>
      <c r="L764" s="144" t="s">
        <v>643</v>
      </c>
    </row>
    <row r="765" spans="1:12" x14ac:dyDescent="0.3">
      <c r="A765" s="143">
        <v>75</v>
      </c>
      <c r="B765" s="243" t="s">
        <v>682</v>
      </c>
      <c r="C765" s="243" t="s">
        <v>683</v>
      </c>
      <c r="D765" s="229" t="s">
        <v>627</v>
      </c>
      <c r="E765" s="218" t="s">
        <v>524</v>
      </c>
      <c r="F765" s="218" t="s">
        <v>524</v>
      </c>
      <c r="G765" s="147">
        <v>0.25</v>
      </c>
      <c r="H765" s="147">
        <v>0.25</v>
      </c>
      <c r="I765" s="173">
        <v>0.65</v>
      </c>
      <c r="J765" s="220" t="s">
        <v>524</v>
      </c>
      <c r="K765" s="144" t="s">
        <v>519</v>
      </c>
      <c r="L765" s="144" t="s">
        <v>643</v>
      </c>
    </row>
    <row r="766" spans="1:12" ht="28.8" x14ac:dyDescent="0.3">
      <c r="A766" s="143">
        <v>75</v>
      </c>
      <c r="B766" s="243" t="s">
        <v>682</v>
      </c>
      <c r="C766" s="243" t="s">
        <v>683</v>
      </c>
      <c r="D766" s="229" t="s">
        <v>627</v>
      </c>
      <c r="E766" s="161" t="s">
        <v>632</v>
      </c>
      <c r="F766" s="161" t="s">
        <v>632</v>
      </c>
      <c r="G766" s="147">
        <v>0.15</v>
      </c>
      <c r="H766" s="147">
        <v>0.15</v>
      </c>
      <c r="I766" s="173">
        <v>0.95</v>
      </c>
      <c r="J766" s="144" t="s">
        <v>632</v>
      </c>
      <c r="K766" s="144" t="s">
        <v>519</v>
      </c>
      <c r="L766" s="144" t="s">
        <v>643</v>
      </c>
    </row>
    <row r="767" spans="1:12" ht="28.8" x14ac:dyDescent="0.3">
      <c r="A767" s="143">
        <v>75</v>
      </c>
      <c r="B767" s="243" t="s">
        <v>682</v>
      </c>
      <c r="C767" s="243" t="s">
        <v>683</v>
      </c>
      <c r="D767" s="229" t="s">
        <v>627</v>
      </c>
      <c r="E767" s="215" t="s">
        <v>633</v>
      </c>
      <c r="F767" s="215" t="s">
        <v>633</v>
      </c>
      <c r="G767" s="147">
        <v>0.15</v>
      </c>
      <c r="H767" s="147">
        <v>0.15</v>
      </c>
      <c r="I767" s="169"/>
      <c r="J767" s="217" t="s">
        <v>633</v>
      </c>
      <c r="K767" s="144"/>
      <c r="L767" s="144" t="s">
        <v>643</v>
      </c>
    </row>
    <row r="768" spans="1:12" x14ac:dyDescent="0.3">
      <c r="A768" s="143">
        <v>76</v>
      </c>
      <c r="B768" s="243" t="s">
        <v>684</v>
      </c>
      <c r="C768" s="243" t="s">
        <v>685</v>
      </c>
      <c r="D768" s="229" t="s">
        <v>627</v>
      </c>
      <c r="E768" s="215" t="s">
        <v>628</v>
      </c>
      <c r="F768" s="215" t="s">
        <v>628</v>
      </c>
      <c r="G768" s="147">
        <v>0.25</v>
      </c>
      <c r="H768" s="147">
        <v>0.25</v>
      </c>
      <c r="I768" s="173" t="s">
        <v>629</v>
      </c>
      <c r="J768" s="217" t="s">
        <v>628</v>
      </c>
      <c r="K768" s="144" t="s">
        <v>519</v>
      </c>
      <c r="L768" s="144" t="s">
        <v>699</v>
      </c>
    </row>
    <row r="769" spans="1:12" x14ac:dyDescent="0.3">
      <c r="A769" s="143">
        <v>76</v>
      </c>
      <c r="B769" s="243" t="s">
        <v>684</v>
      </c>
      <c r="C769" s="243" t="s">
        <v>685</v>
      </c>
      <c r="D769" s="229" t="s">
        <v>627</v>
      </c>
      <c r="E769" s="215" t="s">
        <v>630</v>
      </c>
      <c r="F769" s="215" t="s">
        <v>630</v>
      </c>
      <c r="G769" s="147">
        <v>0.2</v>
      </c>
      <c r="H769" s="147">
        <v>0.2</v>
      </c>
      <c r="I769" s="173" t="s">
        <v>631</v>
      </c>
      <c r="J769" s="217" t="s">
        <v>630</v>
      </c>
      <c r="K769" s="144" t="s">
        <v>519</v>
      </c>
      <c r="L769" s="144" t="s">
        <v>699</v>
      </c>
    </row>
    <row r="770" spans="1:12" x14ac:dyDescent="0.3">
      <c r="A770" s="143">
        <v>76</v>
      </c>
      <c r="B770" s="243" t="s">
        <v>684</v>
      </c>
      <c r="C770" s="243" t="s">
        <v>685</v>
      </c>
      <c r="D770" s="229" t="s">
        <v>627</v>
      </c>
      <c r="E770" s="218" t="s">
        <v>524</v>
      </c>
      <c r="F770" s="218" t="s">
        <v>524</v>
      </c>
      <c r="G770" s="147">
        <v>0.25</v>
      </c>
      <c r="H770" s="147">
        <v>0.25</v>
      </c>
      <c r="I770" s="173">
        <v>0.65</v>
      </c>
      <c r="J770" s="220" t="s">
        <v>524</v>
      </c>
      <c r="K770" s="144" t="s">
        <v>519</v>
      </c>
      <c r="L770" s="144" t="s">
        <v>699</v>
      </c>
    </row>
    <row r="771" spans="1:12" ht="28.8" x14ac:dyDescent="0.3">
      <c r="A771" s="143">
        <v>76</v>
      </c>
      <c r="B771" s="243" t="s">
        <v>684</v>
      </c>
      <c r="C771" s="243" t="s">
        <v>685</v>
      </c>
      <c r="D771" s="229" t="s">
        <v>627</v>
      </c>
      <c r="E771" s="161" t="s">
        <v>632</v>
      </c>
      <c r="F771" s="161" t="s">
        <v>632</v>
      </c>
      <c r="G771" s="147">
        <v>0.15</v>
      </c>
      <c r="H771" s="147">
        <v>0.15</v>
      </c>
      <c r="I771" s="173">
        <v>0.95</v>
      </c>
      <c r="J771" s="144" t="s">
        <v>632</v>
      </c>
      <c r="K771" s="144" t="s">
        <v>519</v>
      </c>
      <c r="L771" s="144" t="s">
        <v>699</v>
      </c>
    </row>
    <row r="772" spans="1:12" ht="28.8" x14ac:dyDescent="0.3">
      <c r="A772" s="143">
        <v>76</v>
      </c>
      <c r="B772" s="243" t="s">
        <v>684</v>
      </c>
      <c r="C772" s="243" t="s">
        <v>685</v>
      </c>
      <c r="D772" s="229" t="s">
        <v>627</v>
      </c>
      <c r="E772" s="215" t="s">
        <v>633</v>
      </c>
      <c r="F772" s="215" t="s">
        <v>633</v>
      </c>
      <c r="G772" s="147">
        <v>0.15</v>
      </c>
      <c r="H772" s="147">
        <v>0.15</v>
      </c>
      <c r="I772" s="169"/>
      <c r="J772" s="217" t="s">
        <v>633</v>
      </c>
      <c r="K772" s="144"/>
      <c r="L772" s="144" t="s">
        <v>699</v>
      </c>
    </row>
    <row r="773" spans="1:12" x14ac:dyDescent="0.3">
      <c r="A773" s="143">
        <v>77</v>
      </c>
      <c r="B773" s="243" t="s">
        <v>686</v>
      </c>
      <c r="C773" s="243" t="s">
        <v>687</v>
      </c>
      <c r="D773" s="229" t="s">
        <v>627</v>
      </c>
      <c r="E773" s="215" t="s">
        <v>628</v>
      </c>
      <c r="F773" s="215" t="s">
        <v>628</v>
      </c>
      <c r="G773" s="147">
        <v>0.25</v>
      </c>
      <c r="H773" s="147">
        <v>0.25</v>
      </c>
      <c r="I773" s="173" t="s">
        <v>629</v>
      </c>
      <c r="J773" s="217" t="s">
        <v>628</v>
      </c>
      <c r="K773" s="144" t="s">
        <v>519</v>
      </c>
      <c r="L773" s="144" t="s">
        <v>637</v>
      </c>
    </row>
    <row r="774" spans="1:12" x14ac:dyDescent="0.3">
      <c r="A774" s="143">
        <v>77</v>
      </c>
      <c r="B774" s="243" t="s">
        <v>686</v>
      </c>
      <c r="C774" s="243" t="s">
        <v>687</v>
      </c>
      <c r="D774" s="229" t="s">
        <v>627</v>
      </c>
      <c r="E774" s="215" t="s">
        <v>630</v>
      </c>
      <c r="F774" s="215" t="s">
        <v>630</v>
      </c>
      <c r="G774" s="147">
        <v>0.2</v>
      </c>
      <c r="H774" s="147">
        <v>0.2</v>
      </c>
      <c r="I774" s="173" t="s">
        <v>631</v>
      </c>
      <c r="J774" s="217" t="s">
        <v>630</v>
      </c>
      <c r="K774" s="144" t="s">
        <v>519</v>
      </c>
      <c r="L774" s="144" t="s">
        <v>637</v>
      </c>
    </row>
    <row r="775" spans="1:12" x14ac:dyDescent="0.3">
      <c r="A775" s="143">
        <v>77</v>
      </c>
      <c r="B775" s="243" t="s">
        <v>686</v>
      </c>
      <c r="C775" s="243" t="s">
        <v>687</v>
      </c>
      <c r="D775" s="229" t="s">
        <v>627</v>
      </c>
      <c r="E775" s="218" t="s">
        <v>524</v>
      </c>
      <c r="F775" s="218" t="s">
        <v>524</v>
      </c>
      <c r="G775" s="147">
        <v>0.25</v>
      </c>
      <c r="H775" s="147">
        <v>0.25</v>
      </c>
      <c r="I775" s="173">
        <v>0.65</v>
      </c>
      <c r="J775" s="220" t="s">
        <v>524</v>
      </c>
      <c r="K775" s="144" t="s">
        <v>519</v>
      </c>
      <c r="L775" s="144" t="s">
        <v>637</v>
      </c>
    </row>
    <row r="776" spans="1:12" ht="28.8" x14ac:dyDescent="0.3">
      <c r="A776" s="143">
        <v>77</v>
      </c>
      <c r="B776" s="243" t="s">
        <v>686</v>
      </c>
      <c r="C776" s="243" t="s">
        <v>687</v>
      </c>
      <c r="D776" s="229" t="s">
        <v>627</v>
      </c>
      <c r="E776" s="161" t="s">
        <v>632</v>
      </c>
      <c r="F776" s="161" t="s">
        <v>632</v>
      </c>
      <c r="G776" s="147">
        <v>0.15</v>
      </c>
      <c r="H776" s="147">
        <v>0.15</v>
      </c>
      <c r="I776" s="173">
        <v>0.95</v>
      </c>
      <c r="J776" s="144" t="s">
        <v>632</v>
      </c>
      <c r="K776" s="144" t="s">
        <v>519</v>
      </c>
      <c r="L776" s="144" t="s">
        <v>637</v>
      </c>
    </row>
    <row r="777" spans="1:12" ht="28.8" x14ac:dyDescent="0.3">
      <c r="A777" s="143">
        <v>77</v>
      </c>
      <c r="B777" s="243" t="s">
        <v>686</v>
      </c>
      <c r="C777" s="243" t="s">
        <v>687</v>
      </c>
      <c r="D777" s="229" t="s">
        <v>627</v>
      </c>
      <c r="E777" s="215" t="s">
        <v>633</v>
      </c>
      <c r="F777" s="215" t="s">
        <v>633</v>
      </c>
      <c r="G777" s="147">
        <v>0.15</v>
      </c>
      <c r="H777" s="147">
        <v>0.15</v>
      </c>
      <c r="I777" s="169"/>
      <c r="J777" s="217" t="s">
        <v>633</v>
      </c>
      <c r="K777" s="144"/>
      <c r="L777" s="144" t="s">
        <v>637</v>
      </c>
    </row>
    <row r="778" spans="1:12" x14ac:dyDescent="0.3">
      <c r="A778" s="143">
        <v>78</v>
      </c>
      <c r="B778" s="243" t="s">
        <v>688</v>
      </c>
      <c r="C778" s="243" t="s">
        <v>689</v>
      </c>
      <c r="D778" s="229" t="s">
        <v>627</v>
      </c>
      <c r="E778" s="215" t="s">
        <v>628</v>
      </c>
      <c r="F778" s="215" t="s">
        <v>628</v>
      </c>
      <c r="G778" s="147">
        <v>0.25</v>
      </c>
      <c r="H778" s="147">
        <v>0.25</v>
      </c>
      <c r="I778" s="173" t="s">
        <v>629</v>
      </c>
      <c r="J778" s="217" t="s">
        <v>628</v>
      </c>
      <c r="K778" s="144" t="s">
        <v>519</v>
      </c>
      <c r="L778" s="144" t="s">
        <v>639</v>
      </c>
    </row>
    <row r="779" spans="1:12" x14ac:dyDescent="0.3">
      <c r="A779" s="143">
        <v>78</v>
      </c>
      <c r="B779" s="243" t="s">
        <v>688</v>
      </c>
      <c r="C779" s="243" t="s">
        <v>689</v>
      </c>
      <c r="D779" s="229" t="s">
        <v>627</v>
      </c>
      <c r="E779" s="215" t="s">
        <v>630</v>
      </c>
      <c r="F779" s="215" t="s">
        <v>630</v>
      </c>
      <c r="G779" s="147">
        <v>0.2</v>
      </c>
      <c r="H779" s="147">
        <v>0.2</v>
      </c>
      <c r="I779" s="173" t="s">
        <v>631</v>
      </c>
      <c r="J779" s="217" t="s">
        <v>630</v>
      </c>
      <c r="K779" s="144" t="s">
        <v>519</v>
      </c>
      <c r="L779" s="144" t="s">
        <v>639</v>
      </c>
    </row>
    <row r="780" spans="1:12" x14ac:dyDescent="0.3">
      <c r="A780" s="143">
        <v>78</v>
      </c>
      <c r="B780" s="243" t="s">
        <v>688</v>
      </c>
      <c r="C780" s="243" t="s">
        <v>689</v>
      </c>
      <c r="D780" s="229" t="s">
        <v>627</v>
      </c>
      <c r="E780" s="218" t="s">
        <v>524</v>
      </c>
      <c r="F780" s="218" t="s">
        <v>524</v>
      </c>
      <c r="G780" s="147">
        <v>0.25</v>
      </c>
      <c r="H780" s="147">
        <v>0.25</v>
      </c>
      <c r="I780" s="173">
        <v>0.65</v>
      </c>
      <c r="J780" s="220" t="s">
        <v>524</v>
      </c>
      <c r="K780" s="144" t="s">
        <v>519</v>
      </c>
      <c r="L780" s="144" t="s">
        <v>639</v>
      </c>
    </row>
    <row r="781" spans="1:12" ht="28.8" x14ac:dyDescent="0.3">
      <c r="A781" s="143">
        <v>78</v>
      </c>
      <c r="B781" s="243" t="s">
        <v>688</v>
      </c>
      <c r="C781" s="243" t="s">
        <v>689</v>
      </c>
      <c r="D781" s="229" t="s">
        <v>627</v>
      </c>
      <c r="E781" s="161" t="s">
        <v>632</v>
      </c>
      <c r="F781" s="161" t="s">
        <v>632</v>
      </c>
      <c r="G781" s="147">
        <v>0.15</v>
      </c>
      <c r="H781" s="147">
        <v>0.15</v>
      </c>
      <c r="I781" s="173">
        <v>0.95</v>
      </c>
      <c r="J781" s="144" t="s">
        <v>632</v>
      </c>
      <c r="K781" s="144" t="s">
        <v>519</v>
      </c>
      <c r="L781" s="144" t="s">
        <v>639</v>
      </c>
    </row>
    <row r="782" spans="1:12" ht="28.8" x14ac:dyDescent="0.3">
      <c r="A782" s="143">
        <v>78</v>
      </c>
      <c r="B782" s="243" t="s">
        <v>688</v>
      </c>
      <c r="C782" s="243" t="s">
        <v>689</v>
      </c>
      <c r="D782" s="229" t="s">
        <v>627</v>
      </c>
      <c r="E782" s="215" t="s">
        <v>633</v>
      </c>
      <c r="F782" s="215" t="s">
        <v>633</v>
      </c>
      <c r="G782" s="147">
        <v>0.15</v>
      </c>
      <c r="H782" s="147">
        <v>0.15</v>
      </c>
      <c r="I782" s="169"/>
      <c r="J782" s="217" t="s">
        <v>633</v>
      </c>
      <c r="K782" s="144"/>
      <c r="L782" s="144" t="s">
        <v>639</v>
      </c>
    </row>
    <row r="783" spans="1:12" x14ac:dyDescent="0.3">
      <c r="A783" s="143">
        <v>79</v>
      </c>
      <c r="B783" s="243" t="s">
        <v>690</v>
      </c>
      <c r="C783" s="243" t="s">
        <v>691</v>
      </c>
      <c r="D783" s="229" t="s">
        <v>627</v>
      </c>
      <c r="E783" s="215" t="s">
        <v>628</v>
      </c>
      <c r="F783" s="215" t="s">
        <v>628</v>
      </c>
      <c r="G783" s="147">
        <v>0.25</v>
      </c>
      <c r="H783" s="147">
        <v>0.25</v>
      </c>
      <c r="I783" s="173" t="s">
        <v>629</v>
      </c>
      <c r="J783" s="217" t="s">
        <v>628</v>
      </c>
      <c r="K783" s="144" t="s">
        <v>519</v>
      </c>
      <c r="L783" s="144" t="s">
        <v>643</v>
      </c>
    </row>
    <row r="784" spans="1:12" x14ac:dyDescent="0.3">
      <c r="A784" s="143">
        <v>79</v>
      </c>
      <c r="B784" s="243" t="s">
        <v>690</v>
      </c>
      <c r="C784" s="243" t="s">
        <v>691</v>
      </c>
      <c r="D784" s="229" t="s">
        <v>627</v>
      </c>
      <c r="E784" s="215" t="s">
        <v>630</v>
      </c>
      <c r="F784" s="215" t="s">
        <v>630</v>
      </c>
      <c r="G784" s="147">
        <v>0.2</v>
      </c>
      <c r="H784" s="147">
        <v>0.2</v>
      </c>
      <c r="I784" s="173" t="s">
        <v>631</v>
      </c>
      <c r="J784" s="217" t="s">
        <v>630</v>
      </c>
      <c r="K784" s="144" t="s">
        <v>519</v>
      </c>
      <c r="L784" s="144" t="s">
        <v>643</v>
      </c>
    </row>
    <row r="785" spans="1:12" x14ac:dyDescent="0.3">
      <c r="A785" s="143">
        <v>79</v>
      </c>
      <c r="B785" s="243" t="s">
        <v>690</v>
      </c>
      <c r="C785" s="243" t="s">
        <v>691</v>
      </c>
      <c r="D785" s="229" t="s">
        <v>627</v>
      </c>
      <c r="E785" s="218" t="s">
        <v>524</v>
      </c>
      <c r="F785" s="218" t="s">
        <v>524</v>
      </c>
      <c r="G785" s="147">
        <v>0.25</v>
      </c>
      <c r="H785" s="147">
        <v>0.25</v>
      </c>
      <c r="I785" s="173">
        <v>0.65</v>
      </c>
      <c r="J785" s="220" t="s">
        <v>524</v>
      </c>
      <c r="K785" s="144" t="s">
        <v>519</v>
      </c>
      <c r="L785" s="144" t="s">
        <v>643</v>
      </c>
    </row>
    <row r="786" spans="1:12" ht="28.8" x14ac:dyDescent="0.3">
      <c r="A786" s="143">
        <v>79</v>
      </c>
      <c r="B786" s="243" t="s">
        <v>690</v>
      </c>
      <c r="C786" s="243" t="s">
        <v>691</v>
      </c>
      <c r="D786" s="229" t="s">
        <v>627</v>
      </c>
      <c r="E786" s="161" t="s">
        <v>632</v>
      </c>
      <c r="F786" s="161" t="s">
        <v>632</v>
      </c>
      <c r="G786" s="147">
        <v>0.15</v>
      </c>
      <c r="H786" s="147">
        <v>0.15</v>
      </c>
      <c r="I786" s="173">
        <v>0.95</v>
      </c>
      <c r="J786" s="144" t="s">
        <v>632</v>
      </c>
      <c r="K786" s="144" t="s">
        <v>519</v>
      </c>
      <c r="L786" s="144" t="s">
        <v>643</v>
      </c>
    </row>
    <row r="787" spans="1:12" ht="28.8" x14ac:dyDescent="0.3">
      <c r="A787" s="143">
        <v>79</v>
      </c>
      <c r="B787" s="243" t="s">
        <v>690</v>
      </c>
      <c r="C787" s="243" t="s">
        <v>691</v>
      </c>
      <c r="D787" s="229" t="s">
        <v>627</v>
      </c>
      <c r="E787" s="215" t="s">
        <v>633</v>
      </c>
      <c r="F787" s="215" t="s">
        <v>633</v>
      </c>
      <c r="G787" s="147">
        <v>0.15</v>
      </c>
      <c r="H787" s="147">
        <v>0.15</v>
      </c>
      <c r="I787" s="169"/>
      <c r="J787" s="217" t="s">
        <v>633</v>
      </c>
      <c r="K787" s="144"/>
      <c r="L787" s="144" t="s">
        <v>643</v>
      </c>
    </row>
    <row r="788" spans="1:12" x14ac:dyDescent="0.3">
      <c r="A788" s="143">
        <v>80</v>
      </c>
      <c r="B788" s="243" t="s">
        <v>692</v>
      </c>
      <c r="C788" s="243" t="s">
        <v>693</v>
      </c>
      <c r="D788" s="229" t="s">
        <v>627</v>
      </c>
      <c r="E788" s="215" t="s">
        <v>628</v>
      </c>
      <c r="F788" s="215" t="s">
        <v>628</v>
      </c>
      <c r="G788" s="147">
        <v>0.25</v>
      </c>
      <c r="H788" s="147">
        <v>0.25</v>
      </c>
      <c r="I788" s="173" t="s">
        <v>629</v>
      </c>
      <c r="J788" s="217" t="s">
        <v>628</v>
      </c>
      <c r="K788" s="144" t="s">
        <v>519</v>
      </c>
      <c r="L788" s="144" t="s">
        <v>645</v>
      </c>
    </row>
    <row r="789" spans="1:12" x14ac:dyDescent="0.3">
      <c r="A789" s="143">
        <v>80</v>
      </c>
      <c r="B789" s="243" t="s">
        <v>692</v>
      </c>
      <c r="C789" s="243" t="s">
        <v>693</v>
      </c>
      <c r="D789" s="229" t="s">
        <v>627</v>
      </c>
      <c r="E789" s="215" t="s">
        <v>630</v>
      </c>
      <c r="F789" s="215" t="s">
        <v>630</v>
      </c>
      <c r="G789" s="147">
        <v>0.2</v>
      </c>
      <c r="H789" s="147">
        <v>0.2</v>
      </c>
      <c r="I789" s="173" t="s">
        <v>631</v>
      </c>
      <c r="J789" s="217" t="s">
        <v>630</v>
      </c>
      <c r="K789" s="144" t="s">
        <v>519</v>
      </c>
      <c r="L789" s="144" t="s">
        <v>645</v>
      </c>
    </row>
    <row r="790" spans="1:12" x14ac:dyDescent="0.3">
      <c r="A790" s="143">
        <v>80</v>
      </c>
      <c r="B790" s="243" t="s">
        <v>692</v>
      </c>
      <c r="C790" s="243" t="s">
        <v>693</v>
      </c>
      <c r="D790" s="229" t="s">
        <v>627</v>
      </c>
      <c r="E790" s="218" t="s">
        <v>524</v>
      </c>
      <c r="F790" s="218" t="s">
        <v>524</v>
      </c>
      <c r="G790" s="147">
        <v>0.25</v>
      </c>
      <c r="H790" s="147">
        <v>0.25</v>
      </c>
      <c r="I790" s="173">
        <v>0.65</v>
      </c>
      <c r="J790" s="220" t="s">
        <v>524</v>
      </c>
      <c r="K790" s="144" t="s">
        <v>519</v>
      </c>
      <c r="L790" s="144" t="s">
        <v>645</v>
      </c>
    </row>
    <row r="791" spans="1:12" ht="28.8" x14ac:dyDescent="0.3">
      <c r="A791" s="143">
        <v>80</v>
      </c>
      <c r="B791" s="243" t="s">
        <v>692</v>
      </c>
      <c r="C791" s="243" t="s">
        <v>693</v>
      </c>
      <c r="D791" s="229" t="s">
        <v>627</v>
      </c>
      <c r="E791" s="161" t="s">
        <v>632</v>
      </c>
      <c r="F791" s="161" t="s">
        <v>632</v>
      </c>
      <c r="G791" s="147">
        <v>0.15</v>
      </c>
      <c r="H791" s="147">
        <v>0.15</v>
      </c>
      <c r="I791" s="173">
        <v>0.95</v>
      </c>
      <c r="J791" s="144" t="s">
        <v>632</v>
      </c>
      <c r="K791" s="144" t="s">
        <v>519</v>
      </c>
      <c r="L791" s="144" t="s">
        <v>645</v>
      </c>
    </row>
    <row r="792" spans="1:12" ht="28.8" x14ac:dyDescent="0.3">
      <c r="A792" s="143">
        <v>80</v>
      </c>
      <c r="B792" s="243" t="s">
        <v>692</v>
      </c>
      <c r="C792" s="243" t="s">
        <v>693</v>
      </c>
      <c r="D792" s="229" t="s">
        <v>627</v>
      </c>
      <c r="E792" s="215" t="s">
        <v>633</v>
      </c>
      <c r="F792" s="215" t="s">
        <v>633</v>
      </c>
      <c r="G792" s="147">
        <v>0.15</v>
      </c>
      <c r="H792" s="147">
        <v>0.15</v>
      </c>
      <c r="I792" s="169"/>
      <c r="J792" s="217" t="s">
        <v>633</v>
      </c>
      <c r="K792" s="144"/>
      <c r="L792" s="144" t="s">
        <v>645</v>
      </c>
    </row>
    <row r="793" spans="1:12" x14ac:dyDescent="0.3">
      <c r="A793" s="143">
        <v>81</v>
      </c>
      <c r="B793" s="243" t="s">
        <v>694</v>
      </c>
      <c r="C793" s="243" t="s">
        <v>695</v>
      </c>
      <c r="D793" s="229" t="s">
        <v>627</v>
      </c>
      <c r="E793" s="215" t="s">
        <v>628</v>
      </c>
      <c r="F793" s="215" t="s">
        <v>628</v>
      </c>
      <c r="G793" s="147">
        <v>0.25</v>
      </c>
      <c r="H793" s="147">
        <v>0.25</v>
      </c>
      <c r="I793" s="173" t="s">
        <v>629</v>
      </c>
      <c r="J793" s="217" t="s">
        <v>628</v>
      </c>
      <c r="K793" s="144" t="s">
        <v>519</v>
      </c>
      <c r="L793" s="144" t="s">
        <v>641</v>
      </c>
    </row>
    <row r="794" spans="1:12" x14ac:dyDescent="0.3">
      <c r="A794" s="143">
        <v>81</v>
      </c>
      <c r="B794" s="243" t="s">
        <v>694</v>
      </c>
      <c r="C794" s="243" t="s">
        <v>695</v>
      </c>
      <c r="D794" s="229" t="s">
        <v>627</v>
      </c>
      <c r="E794" s="215" t="s">
        <v>630</v>
      </c>
      <c r="F794" s="215" t="s">
        <v>630</v>
      </c>
      <c r="G794" s="147">
        <v>0.2</v>
      </c>
      <c r="H794" s="147">
        <v>0.2</v>
      </c>
      <c r="I794" s="173" t="s">
        <v>631</v>
      </c>
      <c r="J794" s="217" t="s">
        <v>630</v>
      </c>
      <c r="K794" s="144" t="s">
        <v>519</v>
      </c>
      <c r="L794" s="144" t="s">
        <v>641</v>
      </c>
    </row>
    <row r="795" spans="1:12" x14ac:dyDescent="0.3">
      <c r="A795" s="143">
        <v>81</v>
      </c>
      <c r="B795" s="243" t="s">
        <v>694</v>
      </c>
      <c r="C795" s="243" t="s">
        <v>695</v>
      </c>
      <c r="D795" s="229" t="s">
        <v>627</v>
      </c>
      <c r="E795" s="218" t="s">
        <v>524</v>
      </c>
      <c r="F795" s="218" t="s">
        <v>524</v>
      </c>
      <c r="G795" s="147">
        <v>0.25</v>
      </c>
      <c r="H795" s="147">
        <v>0.25</v>
      </c>
      <c r="I795" s="173">
        <v>0.65</v>
      </c>
      <c r="J795" s="220" t="s">
        <v>524</v>
      </c>
      <c r="K795" s="144" t="s">
        <v>519</v>
      </c>
      <c r="L795" s="144" t="s">
        <v>641</v>
      </c>
    </row>
    <row r="796" spans="1:12" ht="28.8" x14ac:dyDescent="0.3">
      <c r="A796" s="143">
        <v>81</v>
      </c>
      <c r="B796" s="243" t="s">
        <v>694</v>
      </c>
      <c r="C796" s="243" t="s">
        <v>695</v>
      </c>
      <c r="D796" s="229" t="s">
        <v>627</v>
      </c>
      <c r="E796" s="161" t="s">
        <v>632</v>
      </c>
      <c r="F796" s="161" t="s">
        <v>632</v>
      </c>
      <c r="G796" s="147">
        <v>0.15</v>
      </c>
      <c r="H796" s="147">
        <v>0.15</v>
      </c>
      <c r="I796" s="173">
        <v>0.95</v>
      </c>
      <c r="J796" s="144" t="s">
        <v>632</v>
      </c>
      <c r="K796" s="144" t="s">
        <v>519</v>
      </c>
      <c r="L796" s="144" t="s">
        <v>641</v>
      </c>
    </row>
    <row r="797" spans="1:12" ht="28.8" x14ac:dyDescent="0.3">
      <c r="A797" s="143">
        <v>81</v>
      </c>
      <c r="B797" s="243" t="s">
        <v>694</v>
      </c>
      <c r="C797" s="243" t="s">
        <v>695</v>
      </c>
      <c r="D797" s="229" t="s">
        <v>627</v>
      </c>
      <c r="E797" s="215" t="s">
        <v>633</v>
      </c>
      <c r="F797" s="215" t="s">
        <v>633</v>
      </c>
      <c r="G797" s="147">
        <v>0.15</v>
      </c>
      <c r="H797" s="147">
        <v>0.15</v>
      </c>
      <c r="I797" s="169"/>
      <c r="J797" s="217" t="s">
        <v>633</v>
      </c>
      <c r="K797" s="144"/>
      <c r="L797" s="144" t="s">
        <v>641</v>
      </c>
    </row>
    <row r="798" spans="1:12" x14ac:dyDescent="0.3">
      <c r="A798" s="143">
        <v>82</v>
      </c>
      <c r="B798" s="243" t="s">
        <v>696</v>
      </c>
      <c r="C798" s="243" t="s">
        <v>697</v>
      </c>
      <c r="D798" s="229" t="s">
        <v>627</v>
      </c>
      <c r="E798" s="215" t="s">
        <v>628</v>
      </c>
      <c r="F798" s="215" t="s">
        <v>628</v>
      </c>
      <c r="G798" s="147">
        <v>0.25</v>
      </c>
      <c r="H798" s="147">
        <v>0.25</v>
      </c>
      <c r="I798" s="173" t="s">
        <v>629</v>
      </c>
      <c r="J798" s="217" t="s">
        <v>628</v>
      </c>
      <c r="K798" s="144" t="s">
        <v>519</v>
      </c>
      <c r="L798" s="144" t="s">
        <v>641</v>
      </c>
    </row>
    <row r="799" spans="1:12" x14ac:dyDescent="0.3">
      <c r="A799" s="143">
        <v>82</v>
      </c>
      <c r="B799" s="243" t="s">
        <v>696</v>
      </c>
      <c r="C799" s="243" t="s">
        <v>697</v>
      </c>
      <c r="D799" s="229" t="s">
        <v>627</v>
      </c>
      <c r="E799" s="215" t="s">
        <v>630</v>
      </c>
      <c r="F799" s="215" t="s">
        <v>630</v>
      </c>
      <c r="G799" s="147">
        <v>0.2</v>
      </c>
      <c r="H799" s="147">
        <v>0.2</v>
      </c>
      <c r="I799" s="173" t="s">
        <v>631</v>
      </c>
      <c r="J799" s="217" t="s">
        <v>630</v>
      </c>
      <c r="K799" s="144" t="s">
        <v>519</v>
      </c>
      <c r="L799" s="144" t="s">
        <v>641</v>
      </c>
    </row>
    <row r="800" spans="1:12" x14ac:dyDescent="0.3">
      <c r="A800" s="143">
        <v>82</v>
      </c>
      <c r="B800" s="243" t="s">
        <v>696</v>
      </c>
      <c r="C800" s="243" t="s">
        <v>697</v>
      </c>
      <c r="D800" s="229" t="s">
        <v>627</v>
      </c>
      <c r="E800" s="218" t="s">
        <v>524</v>
      </c>
      <c r="F800" s="218" t="s">
        <v>524</v>
      </c>
      <c r="G800" s="147">
        <v>0.25</v>
      </c>
      <c r="H800" s="147">
        <v>0.25</v>
      </c>
      <c r="I800" s="173">
        <v>0.65</v>
      </c>
      <c r="J800" s="220" t="s">
        <v>524</v>
      </c>
      <c r="K800" s="144" t="s">
        <v>519</v>
      </c>
      <c r="L800" s="144" t="s">
        <v>641</v>
      </c>
    </row>
    <row r="801" spans="1:12" ht="28.8" x14ac:dyDescent="0.3">
      <c r="A801" s="143">
        <v>82</v>
      </c>
      <c r="B801" s="243" t="s">
        <v>696</v>
      </c>
      <c r="C801" s="243" t="s">
        <v>697</v>
      </c>
      <c r="D801" s="229" t="s">
        <v>627</v>
      </c>
      <c r="E801" s="161" t="s">
        <v>632</v>
      </c>
      <c r="F801" s="161" t="s">
        <v>632</v>
      </c>
      <c r="G801" s="147">
        <v>0.15</v>
      </c>
      <c r="H801" s="147">
        <v>0.15</v>
      </c>
      <c r="I801" s="173">
        <v>0.95</v>
      </c>
      <c r="J801" s="144" t="s">
        <v>632</v>
      </c>
      <c r="K801" s="144" t="s">
        <v>519</v>
      </c>
      <c r="L801" s="144" t="s">
        <v>641</v>
      </c>
    </row>
    <row r="802" spans="1:12" ht="28.8" x14ac:dyDescent="0.3">
      <c r="A802" s="143">
        <v>82</v>
      </c>
      <c r="B802" s="243" t="s">
        <v>696</v>
      </c>
      <c r="C802" s="243" t="s">
        <v>697</v>
      </c>
      <c r="D802" s="229" t="s">
        <v>627</v>
      </c>
      <c r="E802" s="215" t="s">
        <v>633</v>
      </c>
      <c r="F802" s="215" t="s">
        <v>633</v>
      </c>
      <c r="G802" s="147">
        <v>0.15</v>
      </c>
      <c r="H802" s="147">
        <v>0.15</v>
      </c>
      <c r="I802" s="169"/>
      <c r="J802" s="217" t="s">
        <v>633</v>
      </c>
      <c r="K802" s="144"/>
      <c r="L802" s="144" t="s">
        <v>641</v>
      </c>
    </row>
    <row r="803" spans="1:12" x14ac:dyDescent="0.3">
      <c r="A803" s="143">
        <v>83</v>
      </c>
      <c r="B803" s="243" t="s">
        <v>698</v>
      </c>
      <c r="C803" s="244" t="s">
        <v>699</v>
      </c>
      <c r="D803" s="229" t="s">
        <v>627</v>
      </c>
      <c r="E803" s="215" t="s">
        <v>628</v>
      </c>
      <c r="F803" s="215" t="s">
        <v>628</v>
      </c>
      <c r="G803" s="147">
        <v>0.25</v>
      </c>
      <c r="H803" s="147">
        <v>0.25</v>
      </c>
      <c r="I803" s="173" t="s">
        <v>629</v>
      </c>
      <c r="J803" s="217" t="s">
        <v>628</v>
      </c>
      <c r="K803" s="144" t="s">
        <v>519</v>
      </c>
      <c r="L803" s="144" t="s">
        <v>550</v>
      </c>
    </row>
    <row r="804" spans="1:12" x14ac:dyDescent="0.3">
      <c r="A804" s="143">
        <v>83</v>
      </c>
      <c r="B804" s="243" t="s">
        <v>698</v>
      </c>
      <c r="C804" s="244" t="s">
        <v>699</v>
      </c>
      <c r="D804" s="229" t="s">
        <v>627</v>
      </c>
      <c r="E804" s="215" t="s">
        <v>630</v>
      </c>
      <c r="F804" s="215" t="s">
        <v>630</v>
      </c>
      <c r="G804" s="147">
        <v>0.2</v>
      </c>
      <c r="H804" s="147">
        <v>0.2</v>
      </c>
      <c r="I804" s="173" t="s">
        <v>631</v>
      </c>
      <c r="J804" s="217" t="s">
        <v>630</v>
      </c>
      <c r="K804" s="144" t="s">
        <v>519</v>
      </c>
      <c r="L804" s="144" t="s">
        <v>550</v>
      </c>
    </row>
    <row r="805" spans="1:12" x14ac:dyDescent="0.3">
      <c r="A805" s="143">
        <v>83</v>
      </c>
      <c r="B805" s="243" t="s">
        <v>698</v>
      </c>
      <c r="C805" s="244" t="s">
        <v>699</v>
      </c>
      <c r="D805" s="229" t="s">
        <v>627</v>
      </c>
      <c r="E805" s="218" t="s">
        <v>524</v>
      </c>
      <c r="F805" s="218" t="s">
        <v>524</v>
      </c>
      <c r="G805" s="147">
        <v>0.25</v>
      </c>
      <c r="H805" s="147">
        <v>0.25</v>
      </c>
      <c r="I805" s="173">
        <v>0.65</v>
      </c>
      <c r="J805" s="220" t="s">
        <v>524</v>
      </c>
      <c r="K805" s="144" t="s">
        <v>519</v>
      </c>
      <c r="L805" s="144" t="s">
        <v>550</v>
      </c>
    </row>
    <row r="806" spans="1:12" ht="28.8" x14ac:dyDescent="0.3">
      <c r="A806" s="143">
        <v>83</v>
      </c>
      <c r="B806" s="243" t="s">
        <v>698</v>
      </c>
      <c r="C806" s="244" t="s">
        <v>699</v>
      </c>
      <c r="D806" s="229" t="s">
        <v>627</v>
      </c>
      <c r="E806" s="161" t="s">
        <v>632</v>
      </c>
      <c r="F806" s="161" t="s">
        <v>632</v>
      </c>
      <c r="G806" s="147">
        <v>0.15</v>
      </c>
      <c r="H806" s="147">
        <v>0.15</v>
      </c>
      <c r="I806" s="173">
        <v>0.95</v>
      </c>
      <c r="J806" s="144" t="s">
        <v>632</v>
      </c>
      <c r="K806" s="144" t="s">
        <v>519</v>
      </c>
      <c r="L806" s="144" t="s">
        <v>550</v>
      </c>
    </row>
    <row r="807" spans="1:12" ht="28.8" x14ac:dyDescent="0.3">
      <c r="A807" s="143">
        <v>83</v>
      </c>
      <c r="B807" s="243" t="s">
        <v>698</v>
      </c>
      <c r="C807" s="244" t="s">
        <v>699</v>
      </c>
      <c r="D807" s="229" t="s">
        <v>627</v>
      </c>
      <c r="E807" s="215" t="s">
        <v>633</v>
      </c>
      <c r="F807" s="215" t="s">
        <v>633</v>
      </c>
      <c r="G807" s="147">
        <v>0.15</v>
      </c>
      <c r="H807" s="147">
        <v>0.15</v>
      </c>
      <c r="I807" s="169"/>
      <c r="J807" s="217" t="s">
        <v>633</v>
      </c>
      <c r="K807" s="144"/>
      <c r="L807" s="144" t="s">
        <v>550</v>
      </c>
    </row>
    <row r="808" spans="1:12" x14ac:dyDescent="0.3">
      <c r="A808" s="143">
        <v>84</v>
      </c>
      <c r="B808" s="243" t="s">
        <v>700</v>
      </c>
      <c r="C808" s="243" t="s">
        <v>701</v>
      </c>
      <c r="D808" s="229" t="s">
        <v>627</v>
      </c>
      <c r="E808" s="215" t="s">
        <v>628</v>
      </c>
      <c r="F808" s="215" t="s">
        <v>628</v>
      </c>
      <c r="G808" s="147">
        <v>0.25</v>
      </c>
      <c r="H808" s="147">
        <v>0.25</v>
      </c>
      <c r="I808" s="173" t="s">
        <v>629</v>
      </c>
      <c r="J808" s="217" t="s">
        <v>628</v>
      </c>
      <c r="K808" s="144" t="s">
        <v>519</v>
      </c>
      <c r="L808" s="144" t="s">
        <v>635</v>
      </c>
    </row>
    <row r="809" spans="1:12" x14ac:dyDescent="0.3">
      <c r="A809" s="143">
        <v>84</v>
      </c>
      <c r="B809" s="243" t="s">
        <v>700</v>
      </c>
      <c r="C809" s="243" t="s">
        <v>701</v>
      </c>
      <c r="D809" s="229" t="s">
        <v>627</v>
      </c>
      <c r="E809" s="215" t="s">
        <v>630</v>
      </c>
      <c r="F809" s="215" t="s">
        <v>630</v>
      </c>
      <c r="G809" s="147">
        <v>0.2</v>
      </c>
      <c r="H809" s="147">
        <v>0.2</v>
      </c>
      <c r="I809" s="173" t="s">
        <v>631</v>
      </c>
      <c r="J809" s="217" t="s">
        <v>630</v>
      </c>
      <c r="K809" s="144" t="s">
        <v>519</v>
      </c>
      <c r="L809" s="144" t="s">
        <v>635</v>
      </c>
    </row>
    <row r="810" spans="1:12" x14ac:dyDescent="0.3">
      <c r="A810" s="143">
        <v>84</v>
      </c>
      <c r="B810" s="243" t="s">
        <v>700</v>
      </c>
      <c r="C810" s="243" t="s">
        <v>701</v>
      </c>
      <c r="D810" s="229" t="s">
        <v>627</v>
      </c>
      <c r="E810" s="218" t="s">
        <v>524</v>
      </c>
      <c r="F810" s="218" t="s">
        <v>524</v>
      </c>
      <c r="G810" s="147">
        <v>0.25</v>
      </c>
      <c r="H810" s="147">
        <v>0.25</v>
      </c>
      <c r="I810" s="173">
        <v>0.65</v>
      </c>
      <c r="J810" s="220" t="s">
        <v>524</v>
      </c>
      <c r="K810" s="144" t="s">
        <v>519</v>
      </c>
      <c r="L810" s="144" t="s">
        <v>635</v>
      </c>
    </row>
    <row r="811" spans="1:12" ht="28.8" x14ac:dyDescent="0.3">
      <c r="A811" s="143">
        <v>84</v>
      </c>
      <c r="B811" s="243" t="s">
        <v>700</v>
      </c>
      <c r="C811" s="243" t="s">
        <v>701</v>
      </c>
      <c r="D811" s="229" t="s">
        <v>627</v>
      </c>
      <c r="E811" s="161" t="s">
        <v>632</v>
      </c>
      <c r="F811" s="161" t="s">
        <v>632</v>
      </c>
      <c r="G811" s="147">
        <v>0.15</v>
      </c>
      <c r="H811" s="147">
        <v>0.15</v>
      </c>
      <c r="I811" s="173">
        <v>0.95</v>
      </c>
      <c r="J811" s="144" t="s">
        <v>632</v>
      </c>
      <c r="K811" s="144" t="s">
        <v>519</v>
      </c>
      <c r="L811" s="144" t="s">
        <v>635</v>
      </c>
    </row>
    <row r="812" spans="1:12" ht="28.8" x14ac:dyDescent="0.3">
      <c r="A812" s="143">
        <v>84</v>
      </c>
      <c r="B812" s="243" t="s">
        <v>700</v>
      </c>
      <c r="C812" s="243" t="s">
        <v>701</v>
      </c>
      <c r="D812" s="229" t="s">
        <v>627</v>
      </c>
      <c r="E812" s="215" t="s">
        <v>633</v>
      </c>
      <c r="F812" s="215" t="s">
        <v>633</v>
      </c>
      <c r="G812" s="147">
        <v>0.15</v>
      </c>
      <c r="H812" s="147">
        <v>0.15</v>
      </c>
      <c r="I812" s="169"/>
      <c r="J812" s="217" t="s">
        <v>633</v>
      </c>
      <c r="K812" s="144"/>
      <c r="L812" s="144" t="s">
        <v>635</v>
      </c>
    </row>
    <row r="813" spans="1:12" x14ac:dyDescent="0.3">
      <c r="A813" s="143">
        <v>85</v>
      </c>
      <c r="B813" s="243" t="s">
        <v>702</v>
      </c>
      <c r="C813" s="243" t="s">
        <v>703</v>
      </c>
      <c r="D813" s="229" t="s">
        <v>627</v>
      </c>
      <c r="E813" s="215" t="s">
        <v>628</v>
      </c>
      <c r="F813" s="215" t="s">
        <v>628</v>
      </c>
      <c r="G813" s="147">
        <v>0.25</v>
      </c>
      <c r="H813" s="147">
        <v>0.25</v>
      </c>
      <c r="I813" s="173" t="s">
        <v>629</v>
      </c>
      <c r="J813" s="217" t="s">
        <v>628</v>
      </c>
      <c r="K813" s="144" t="s">
        <v>519</v>
      </c>
      <c r="L813" s="144" t="s">
        <v>635</v>
      </c>
    </row>
    <row r="814" spans="1:12" x14ac:dyDescent="0.3">
      <c r="A814" s="143">
        <v>85</v>
      </c>
      <c r="B814" s="243" t="s">
        <v>702</v>
      </c>
      <c r="C814" s="243" t="s">
        <v>703</v>
      </c>
      <c r="D814" s="229" t="s">
        <v>627</v>
      </c>
      <c r="E814" s="215" t="s">
        <v>630</v>
      </c>
      <c r="F814" s="215" t="s">
        <v>630</v>
      </c>
      <c r="G814" s="147">
        <v>0.2</v>
      </c>
      <c r="H814" s="147">
        <v>0.2</v>
      </c>
      <c r="I814" s="173" t="s">
        <v>631</v>
      </c>
      <c r="J814" s="217" t="s">
        <v>630</v>
      </c>
      <c r="K814" s="144" t="s">
        <v>519</v>
      </c>
      <c r="L814" s="144" t="s">
        <v>635</v>
      </c>
    </row>
    <row r="815" spans="1:12" x14ac:dyDescent="0.3">
      <c r="A815" s="143">
        <v>85</v>
      </c>
      <c r="B815" s="243" t="s">
        <v>702</v>
      </c>
      <c r="C815" s="243" t="s">
        <v>703</v>
      </c>
      <c r="D815" s="229" t="s">
        <v>627</v>
      </c>
      <c r="E815" s="218" t="s">
        <v>524</v>
      </c>
      <c r="F815" s="218" t="s">
        <v>524</v>
      </c>
      <c r="G815" s="147">
        <v>0.25</v>
      </c>
      <c r="H815" s="147">
        <v>0.25</v>
      </c>
      <c r="I815" s="173">
        <v>0.65</v>
      </c>
      <c r="J815" s="220" t="s">
        <v>524</v>
      </c>
      <c r="K815" s="144" t="s">
        <v>519</v>
      </c>
      <c r="L815" s="144" t="s">
        <v>635</v>
      </c>
    </row>
    <row r="816" spans="1:12" ht="28.8" x14ac:dyDescent="0.3">
      <c r="A816" s="143">
        <v>85</v>
      </c>
      <c r="B816" s="243" t="s">
        <v>702</v>
      </c>
      <c r="C816" s="243" t="s">
        <v>703</v>
      </c>
      <c r="D816" s="229" t="s">
        <v>627</v>
      </c>
      <c r="E816" s="161" t="s">
        <v>632</v>
      </c>
      <c r="F816" s="161" t="s">
        <v>632</v>
      </c>
      <c r="G816" s="147">
        <v>0.15</v>
      </c>
      <c r="H816" s="147">
        <v>0.15</v>
      </c>
      <c r="I816" s="173">
        <v>0.95</v>
      </c>
      <c r="J816" s="144" t="s">
        <v>632</v>
      </c>
      <c r="K816" s="144" t="s">
        <v>519</v>
      </c>
      <c r="L816" s="144" t="s">
        <v>635</v>
      </c>
    </row>
    <row r="817" spans="1:12" ht="28.8" x14ac:dyDescent="0.3">
      <c r="A817" s="143">
        <v>85</v>
      </c>
      <c r="B817" s="243" t="s">
        <v>702</v>
      </c>
      <c r="C817" s="243" t="s">
        <v>703</v>
      </c>
      <c r="D817" s="229" t="s">
        <v>627</v>
      </c>
      <c r="E817" s="215" t="s">
        <v>633</v>
      </c>
      <c r="F817" s="215" t="s">
        <v>633</v>
      </c>
      <c r="G817" s="147">
        <v>0.15</v>
      </c>
      <c r="H817" s="147">
        <v>0.15</v>
      </c>
      <c r="I817" s="169"/>
      <c r="J817" s="217" t="s">
        <v>633</v>
      </c>
      <c r="K817" s="144"/>
      <c r="L817" s="144" t="s">
        <v>635</v>
      </c>
    </row>
    <row r="818" spans="1:12" x14ac:dyDescent="0.3">
      <c r="A818" s="143">
        <v>86</v>
      </c>
      <c r="B818" s="243" t="s">
        <v>704</v>
      </c>
      <c r="C818" s="243" t="s">
        <v>705</v>
      </c>
      <c r="D818" s="229" t="s">
        <v>627</v>
      </c>
      <c r="E818" s="215" t="s">
        <v>628</v>
      </c>
      <c r="F818" s="215" t="s">
        <v>628</v>
      </c>
      <c r="G818" s="147">
        <v>0.25</v>
      </c>
      <c r="H818" s="147">
        <v>0.25</v>
      </c>
      <c r="I818" s="173" t="s">
        <v>629</v>
      </c>
      <c r="J818" s="217" t="s">
        <v>628</v>
      </c>
      <c r="K818" s="144" t="s">
        <v>519</v>
      </c>
      <c r="L818" s="144" t="s">
        <v>645</v>
      </c>
    </row>
    <row r="819" spans="1:12" x14ac:dyDescent="0.3">
      <c r="A819" s="143">
        <v>86</v>
      </c>
      <c r="B819" s="243" t="s">
        <v>704</v>
      </c>
      <c r="C819" s="243" t="s">
        <v>705</v>
      </c>
      <c r="D819" s="229" t="s">
        <v>627</v>
      </c>
      <c r="E819" s="215" t="s">
        <v>630</v>
      </c>
      <c r="F819" s="215" t="s">
        <v>630</v>
      </c>
      <c r="G819" s="147">
        <v>0.2</v>
      </c>
      <c r="H819" s="147">
        <v>0.2</v>
      </c>
      <c r="I819" s="173" t="s">
        <v>631</v>
      </c>
      <c r="J819" s="217" t="s">
        <v>630</v>
      </c>
      <c r="K819" s="144" t="s">
        <v>519</v>
      </c>
      <c r="L819" s="144" t="s">
        <v>645</v>
      </c>
    </row>
    <row r="820" spans="1:12" x14ac:dyDescent="0.3">
      <c r="A820" s="143">
        <v>86</v>
      </c>
      <c r="B820" s="243" t="s">
        <v>704</v>
      </c>
      <c r="C820" s="243" t="s">
        <v>705</v>
      </c>
      <c r="D820" s="229" t="s">
        <v>627</v>
      </c>
      <c r="E820" s="218" t="s">
        <v>524</v>
      </c>
      <c r="F820" s="218" t="s">
        <v>524</v>
      </c>
      <c r="G820" s="147">
        <v>0.25</v>
      </c>
      <c r="H820" s="147">
        <v>0.25</v>
      </c>
      <c r="I820" s="173">
        <v>0.65</v>
      </c>
      <c r="J820" s="220" t="s">
        <v>524</v>
      </c>
      <c r="K820" s="144" t="s">
        <v>519</v>
      </c>
      <c r="L820" s="144" t="s">
        <v>645</v>
      </c>
    </row>
    <row r="821" spans="1:12" ht="28.8" x14ac:dyDescent="0.3">
      <c r="A821" s="143">
        <v>86</v>
      </c>
      <c r="B821" s="243" t="s">
        <v>704</v>
      </c>
      <c r="C821" s="243" t="s">
        <v>705</v>
      </c>
      <c r="D821" s="229" t="s">
        <v>627</v>
      </c>
      <c r="E821" s="161" t="s">
        <v>632</v>
      </c>
      <c r="F821" s="161" t="s">
        <v>632</v>
      </c>
      <c r="G821" s="147">
        <v>0.15</v>
      </c>
      <c r="H821" s="147">
        <v>0.15</v>
      </c>
      <c r="I821" s="173">
        <v>0.95</v>
      </c>
      <c r="J821" s="144" t="s">
        <v>632</v>
      </c>
      <c r="K821" s="144" t="s">
        <v>519</v>
      </c>
      <c r="L821" s="144" t="s">
        <v>645</v>
      </c>
    </row>
    <row r="822" spans="1:12" ht="28.8" x14ac:dyDescent="0.3">
      <c r="A822" s="143">
        <v>86</v>
      </c>
      <c r="B822" s="243" t="s">
        <v>704</v>
      </c>
      <c r="C822" s="243" t="s">
        <v>705</v>
      </c>
      <c r="D822" s="229" t="s">
        <v>627</v>
      </c>
      <c r="E822" s="215" t="s">
        <v>633</v>
      </c>
      <c r="F822" s="215" t="s">
        <v>633</v>
      </c>
      <c r="G822" s="147">
        <v>0.15</v>
      </c>
      <c r="H822" s="147">
        <v>0.15</v>
      </c>
      <c r="I822" s="169"/>
      <c r="J822" s="217" t="s">
        <v>633</v>
      </c>
      <c r="K822" s="144"/>
      <c r="L822" s="144" t="s">
        <v>645</v>
      </c>
    </row>
    <row r="823" spans="1:12" x14ac:dyDescent="0.3">
      <c r="A823" s="143">
        <v>87</v>
      </c>
      <c r="B823" s="243" t="s">
        <v>706</v>
      </c>
      <c r="C823" s="243" t="s">
        <v>707</v>
      </c>
      <c r="D823" s="229" t="s">
        <v>627</v>
      </c>
      <c r="E823" s="215" t="s">
        <v>628</v>
      </c>
      <c r="F823" s="215" t="s">
        <v>628</v>
      </c>
      <c r="G823" s="147">
        <v>0.25</v>
      </c>
      <c r="H823" s="147">
        <v>0.25</v>
      </c>
      <c r="I823" s="173" t="s">
        <v>629</v>
      </c>
      <c r="J823" s="217" t="s">
        <v>628</v>
      </c>
      <c r="K823" s="144" t="s">
        <v>519</v>
      </c>
      <c r="L823" s="144" t="s">
        <v>637</v>
      </c>
    </row>
    <row r="824" spans="1:12" x14ac:dyDescent="0.3">
      <c r="A824" s="143">
        <v>87</v>
      </c>
      <c r="B824" s="243" t="s">
        <v>706</v>
      </c>
      <c r="C824" s="243" t="s">
        <v>707</v>
      </c>
      <c r="D824" s="229" t="s">
        <v>627</v>
      </c>
      <c r="E824" s="215" t="s">
        <v>630</v>
      </c>
      <c r="F824" s="215" t="s">
        <v>630</v>
      </c>
      <c r="G824" s="147">
        <v>0.2</v>
      </c>
      <c r="H824" s="147">
        <v>0.2</v>
      </c>
      <c r="I824" s="173" t="s">
        <v>631</v>
      </c>
      <c r="J824" s="217" t="s">
        <v>630</v>
      </c>
      <c r="K824" s="144" t="s">
        <v>519</v>
      </c>
      <c r="L824" s="144" t="s">
        <v>637</v>
      </c>
    </row>
    <row r="825" spans="1:12" x14ac:dyDescent="0.3">
      <c r="A825" s="143">
        <v>87</v>
      </c>
      <c r="B825" s="243" t="s">
        <v>706</v>
      </c>
      <c r="C825" s="243" t="s">
        <v>707</v>
      </c>
      <c r="D825" s="229" t="s">
        <v>627</v>
      </c>
      <c r="E825" s="218" t="s">
        <v>524</v>
      </c>
      <c r="F825" s="218" t="s">
        <v>524</v>
      </c>
      <c r="G825" s="147">
        <v>0.25</v>
      </c>
      <c r="H825" s="147">
        <v>0.25</v>
      </c>
      <c r="I825" s="173">
        <v>0.65</v>
      </c>
      <c r="J825" s="220" t="s">
        <v>524</v>
      </c>
      <c r="K825" s="144" t="s">
        <v>519</v>
      </c>
      <c r="L825" s="144" t="s">
        <v>637</v>
      </c>
    </row>
    <row r="826" spans="1:12" ht="28.8" x14ac:dyDescent="0.3">
      <c r="A826" s="143">
        <v>87</v>
      </c>
      <c r="B826" s="243" t="s">
        <v>706</v>
      </c>
      <c r="C826" s="243" t="s">
        <v>707</v>
      </c>
      <c r="D826" s="229" t="s">
        <v>627</v>
      </c>
      <c r="E826" s="161" t="s">
        <v>632</v>
      </c>
      <c r="F826" s="161" t="s">
        <v>632</v>
      </c>
      <c r="G826" s="147">
        <v>0.15</v>
      </c>
      <c r="H826" s="147">
        <v>0.15</v>
      </c>
      <c r="I826" s="173">
        <v>0.95</v>
      </c>
      <c r="J826" s="144" t="s">
        <v>632</v>
      </c>
      <c r="K826" s="144" t="s">
        <v>519</v>
      </c>
      <c r="L826" s="144" t="s">
        <v>637</v>
      </c>
    </row>
    <row r="827" spans="1:12" ht="28.8" x14ac:dyDescent="0.3">
      <c r="A827" s="143">
        <v>87</v>
      </c>
      <c r="B827" s="243" t="s">
        <v>706</v>
      </c>
      <c r="C827" s="243" t="s">
        <v>707</v>
      </c>
      <c r="D827" s="229" t="s">
        <v>627</v>
      </c>
      <c r="E827" s="215" t="s">
        <v>633</v>
      </c>
      <c r="F827" s="215" t="s">
        <v>633</v>
      </c>
      <c r="G827" s="147">
        <v>0.15</v>
      </c>
      <c r="H827" s="147">
        <v>0.15</v>
      </c>
      <c r="I827" s="169"/>
      <c r="J827" s="217" t="s">
        <v>633</v>
      </c>
      <c r="K827" s="144"/>
      <c r="L827" s="144" t="s">
        <v>637</v>
      </c>
    </row>
    <row r="828" spans="1:12" x14ac:dyDescent="0.3">
      <c r="A828" s="143">
        <v>88</v>
      </c>
      <c r="B828" s="243" t="s">
        <v>708</v>
      </c>
      <c r="C828" s="243" t="s">
        <v>709</v>
      </c>
      <c r="D828" s="229" t="s">
        <v>627</v>
      </c>
      <c r="E828" s="215" t="s">
        <v>628</v>
      </c>
      <c r="F828" s="215" t="s">
        <v>628</v>
      </c>
      <c r="G828" s="147">
        <v>0.25</v>
      </c>
      <c r="H828" s="147">
        <v>0.25</v>
      </c>
      <c r="I828" s="173" t="s">
        <v>629</v>
      </c>
      <c r="J828" s="217" t="s">
        <v>628</v>
      </c>
      <c r="K828" s="144" t="s">
        <v>519</v>
      </c>
      <c r="L828" s="144" t="s">
        <v>645</v>
      </c>
    </row>
    <row r="829" spans="1:12" x14ac:dyDescent="0.3">
      <c r="A829" s="143">
        <v>88</v>
      </c>
      <c r="B829" s="243" t="s">
        <v>708</v>
      </c>
      <c r="C829" s="243" t="s">
        <v>709</v>
      </c>
      <c r="D829" s="229" t="s">
        <v>627</v>
      </c>
      <c r="E829" s="215" t="s">
        <v>630</v>
      </c>
      <c r="F829" s="215" t="s">
        <v>630</v>
      </c>
      <c r="G829" s="147">
        <v>0.2</v>
      </c>
      <c r="H829" s="147">
        <v>0.2</v>
      </c>
      <c r="I829" s="173" t="s">
        <v>631</v>
      </c>
      <c r="J829" s="217" t="s">
        <v>630</v>
      </c>
      <c r="K829" s="144" t="s">
        <v>519</v>
      </c>
      <c r="L829" s="144" t="s">
        <v>645</v>
      </c>
    </row>
    <row r="830" spans="1:12" x14ac:dyDescent="0.3">
      <c r="A830" s="143">
        <v>88</v>
      </c>
      <c r="B830" s="243" t="s">
        <v>708</v>
      </c>
      <c r="C830" s="243" t="s">
        <v>709</v>
      </c>
      <c r="D830" s="229" t="s">
        <v>627</v>
      </c>
      <c r="E830" s="218" t="s">
        <v>524</v>
      </c>
      <c r="F830" s="218" t="s">
        <v>524</v>
      </c>
      <c r="G830" s="147">
        <v>0.25</v>
      </c>
      <c r="H830" s="147">
        <v>0.25</v>
      </c>
      <c r="I830" s="173">
        <v>0.65</v>
      </c>
      <c r="J830" s="220" t="s">
        <v>524</v>
      </c>
      <c r="K830" s="144" t="s">
        <v>519</v>
      </c>
      <c r="L830" s="144" t="s">
        <v>645</v>
      </c>
    </row>
    <row r="831" spans="1:12" ht="28.8" x14ac:dyDescent="0.3">
      <c r="A831" s="143">
        <v>88</v>
      </c>
      <c r="B831" s="243" t="s">
        <v>708</v>
      </c>
      <c r="C831" s="243" t="s">
        <v>709</v>
      </c>
      <c r="D831" s="229" t="s">
        <v>627</v>
      </c>
      <c r="E831" s="161" t="s">
        <v>632</v>
      </c>
      <c r="F831" s="161" t="s">
        <v>632</v>
      </c>
      <c r="G831" s="147">
        <v>0.15</v>
      </c>
      <c r="H831" s="147">
        <v>0.15</v>
      </c>
      <c r="I831" s="173">
        <v>0.95</v>
      </c>
      <c r="J831" s="144" t="s">
        <v>632</v>
      </c>
      <c r="K831" s="144" t="s">
        <v>519</v>
      </c>
      <c r="L831" s="144" t="s">
        <v>645</v>
      </c>
    </row>
    <row r="832" spans="1:12" ht="28.8" x14ac:dyDescent="0.3">
      <c r="A832" s="143">
        <v>88</v>
      </c>
      <c r="B832" s="243" t="s">
        <v>708</v>
      </c>
      <c r="C832" s="243" t="s">
        <v>709</v>
      </c>
      <c r="D832" s="229" t="s">
        <v>627</v>
      </c>
      <c r="E832" s="215" t="s">
        <v>633</v>
      </c>
      <c r="F832" s="215" t="s">
        <v>633</v>
      </c>
      <c r="G832" s="147">
        <v>0.15</v>
      </c>
      <c r="H832" s="147">
        <v>0.15</v>
      </c>
      <c r="I832" s="169"/>
      <c r="J832" s="217" t="s">
        <v>633</v>
      </c>
      <c r="K832" s="144"/>
      <c r="L832" s="144" t="s">
        <v>645</v>
      </c>
    </row>
    <row r="833" spans="1:12" x14ac:dyDescent="0.3">
      <c r="A833" s="143">
        <v>89</v>
      </c>
      <c r="B833" s="243" t="s">
        <v>710</v>
      </c>
      <c r="C833" s="243" t="s">
        <v>711</v>
      </c>
      <c r="D833" s="229" t="s">
        <v>627</v>
      </c>
      <c r="E833" s="215" t="s">
        <v>628</v>
      </c>
      <c r="F833" s="215" t="s">
        <v>628</v>
      </c>
      <c r="G833" s="147">
        <v>0.25</v>
      </c>
      <c r="H833" s="147">
        <v>0.25</v>
      </c>
      <c r="I833" s="173" t="s">
        <v>629</v>
      </c>
      <c r="J833" s="217" t="s">
        <v>628</v>
      </c>
      <c r="K833" s="144" t="s">
        <v>519</v>
      </c>
      <c r="L833" s="144" t="s">
        <v>637</v>
      </c>
    </row>
    <row r="834" spans="1:12" x14ac:dyDescent="0.3">
      <c r="A834" s="143">
        <v>89</v>
      </c>
      <c r="B834" s="243" t="s">
        <v>710</v>
      </c>
      <c r="C834" s="243" t="s">
        <v>711</v>
      </c>
      <c r="D834" s="229" t="s">
        <v>627</v>
      </c>
      <c r="E834" s="215" t="s">
        <v>630</v>
      </c>
      <c r="F834" s="215" t="s">
        <v>630</v>
      </c>
      <c r="G834" s="147">
        <v>0.2</v>
      </c>
      <c r="H834" s="147">
        <v>0.2</v>
      </c>
      <c r="I834" s="173" t="s">
        <v>631</v>
      </c>
      <c r="J834" s="217" t="s">
        <v>630</v>
      </c>
      <c r="K834" s="144" t="s">
        <v>519</v>
      </c>
      <c r="L834" s="144" t="s">
        <v>637</v>
      </c>
    </row>
    <row r="835" spans="1:12" x14ac:dyDescent="0.3">
      <c r="A835" s="143">
        <v>89</v>
      </c>
      <c r="B835" s="243" t="s">
        <v>710</v>
      </c>
      <c r="C835" s="243" t="s">
        <v>711</v>
      </c>
      <c r="D835" s="229" t="s">
        <v>627</v>
      </c>
      <c r="E835" s="218" t="s">
        <v>524</v>
      </c>
      <c r="F835" s="218" t="s">
        <v>524</v>
      </c>
      <c r="G835" s="147">
        <v>0.25</v>
      </c>
      <c r="H835" s="147">
        <v>0.25</v>
      </c>
      <c r="I835" s="173">
        <v>0.65</v>
      </c>
      <c r="J835" s="220" t="s">
        <v>524</v>
      </c>
      <c r="K835" s="144" t="s">
        <v>519</v>
      </c>
      <c r="L835" s="144" t="s">
        <v>637</v>
      </c>
    </row>
    <row r="836" spans="1:12" ht="28.8" x14ac:dyDescent="0.3">
      <c r="A836" s="143">
        <v>89</v>
      </c>
      <c r="B836" s="243" t="s">
        <v>710</v>
      </c>
      <c r="C836" s="243" t="s">
        <v>711</v>
      </c>
      <c r="D836" s="229" t="s">
        <v>627</v>
      </c>
      <c r="E836" s="161" t="s">
        <v>632</v>
      </c>
      <c r="F836" s="161" t="s">
        <v>632</v>
      </c>
      <c r="G836" s="147">
        <v>0.15</v>
      </c>
      <c r="H836" s="147">
        <v>0.15</v>
      </c>
      <c r="I836" s="173">
        <v>0.95</v>
      </c>
      <c r="J836" s="144" t="s">
        <v>632</v>
      </c>
      <c r="K836" s="144" t="s">
        <v>519</v>
      </c>
      <c r="L836" s="144" t="s">
        <v>637</v>
      </c>
    </row>
    <row r="837" spans="1:12" ht="28.8" x14ac:dyDescent="0.3">
      <c r="A837" s="143">
        <v>89</v>
      </c>
      <c r="B837" s="243" t="s">
        <v>710</v>
      </c>
      <c r="C837" s="243" t="s">
        <v>711</v>
      </c>
      <c r="D837" s="229" t="s">
        <v>627</v>
      </c>
      <c r="E837" s="215" t="s">
        <v>633</v>
      </c>
      <c r="F837" s="215" t="s">
        <v>633</v>
      </c>
      <c r="G837" s="147">
        <v>0.15</v>
      </c>
      <c r="H837" s="147">
        <v>0.15</v>
      </c>
      <c r="I837" s="169"/>
      <c r="J837" s="217" t="s">
        <v>633</v>
      </c>
      <c r="K837" s="144"/>
      <c r="L837" s="144" t="s">
        <v>637</v>
      </c>
    </row>
    <row r="838" spans="1:12" x14ac:dyDescent="0.3">
      <c r="A838" s="143">
        <v>90</v>
      </c>
      <c r="B838" s="243" t="s">
        <v>712</v>
      </c>
      <c r="C838" s="243" t="s">
        <v>713</v>
      </c>
      <c r="D838" s="229" t="s">
        <v>627</v>
      </c>
      <c r="E838" s="215" t="s">
        <v>628</v>
      </c>
      <c r="F838" s="215" t="s">
        <v>628</v>
      </c>
      <c r="G838" s="147">
        <v>0.25</v>
      </c>
      <c r="H838" s="147">
        <v>0.25</v>
      </c>
      <c r="I838" s="173" t="s">
        <v>629</v>
      </c>
      <c r="J838" s="217" t="s">
        <v>628</v>
      </c>
      <c r="K838" s="144" t="s">
        <v>519</v>
      </c>
      <c r="L838" s="144" t="s">
        <v>637</v>
      </c>
    </row>
    <row r="839" spans="1:12" x14ac:dyDescent="0.3">
      <c r="A839" s="143">
        <v>90</v>
      </c>
      <c r="B839" s="243" t="s">
        <v>712</v>
      </c>
      <c r="C839" s="243" t="s">
        <v>713</v>
      </c>
      <c r="D839" s="229" t="s">
        <v>627</v>
      </c>
      <c r="E839" s="215" t="s">
        <v>630</v>
      </c>
      <c r="F839" s="215" t="s">
        <v>630</v>
      </c>
      <c r="G839" s="147">
        <v>0.2</v>
      </c>
      <c r="H839" s="147">
        <v>0.2</v>
      </c>
      <c r="I839" s="173" t="s">
        <v>631</v>
      </c>
      <c r="J839" s="217" t="s">
        <v>630</v>
      </c>
      <c r="K839" s="144" t="s">
        <v>519</v>
      </c>
      <c r="L839" s="144" t="s">
        <v>637</v>
      </c>
    </row>
    <row r="840" spans="1:12" x14ac:dyDescent="0.3">
      <c r="A840" s="143">
        <v>90</v>
      </c>
      <c r="B840" s="243" t="s">
        <v>712</v>
      </c>
      <c r="C840" s="243" t="s">
        <v>713</v>
      </c>
      <c r="D840" s="229" t="s">
        <v>627</v>
      </c>
      <c r="E840" s="218" t="s">
        <v>524</v>
      </c>
      <c r="F840" s="218" t="s">
        <v>524</v>
      </c>
      <c r="G840" s="147">
        <v>0.25</v>
      </c>
      <c r="H840" s="147">
        <v>0.25</v>
      </c>
      <c r="I840" s="173">
        <v>0.65</v>
      </c>
      <c r="J840" s="220" t="s">
        <v>524</v>
      </c>
      <c r="K840" s="144" t="s">
        <v>519</v>
      </c>
      <c r="L840" s="144" t="s">
        <v>637</v>
      </c>
    </row>
    <row r="841" spans="1:12" ht="28.8" x14ac:dyDescent="0.3">
      <c r="A841" s="143">
        <v>90</v>
      </c>
      <c r="B841" s="243" t="s">
        <v>712</v>
      </c>
      <c r="C841" s="243" t="s">
        <v>713</v>
      </c>
      <c r="D841" s="229" t="s">
        <v>627</v>
      </c>
      <c r="E841" s="161" t="s">
        <v>632</v>
      </c>
      <c r="F841" s="161" t="s">
        <v>632</v>
      </c>
      <c r="G841" s="147">
        <v>0.15</v>
      </c>
      <c r="H841" s="147">
        <v>0.15</v>
      </c>
      <c r="I841" s="173">
        <v>0.95</v>
      </c>
      <c r="J841" s="144" t="s">
        <v>632</v>
      </c>
      <c r="K841" s="144" t="s">
        <v>519</v>
      </c>
      <c r="L841" s="144" t="s">
        <v>637</v>
      </c>
    </row>
    <row r="842" spans="1:12" ht="28.8" x14ac:dyDescent="0.3">
      <c r="A842" s="143">
        <v>90</v>
      </c>
      <c r="B842" s="243" t="s">
        <v>712</v>
      </c>
      <c r="C842" s="243" t="s">
        <v>713</v>
      </c>
      <c r="D842" s="229" t="s">
        <v>627</v>
      </c>
      <c r="E842" s="215" t="s">
        <v>633</v>
      </c>
      <c r="F842" s="215" t="s">
        <v>633</v>
      </c>
      <c r="G842" s="147">
        <v>0.15</v>
      </c>
      <c r="H842" s="147">
        <v>0.15</v>
      </c>
      <c r="I842" s="169"/>
      <c r="J842" s="217" t="s">
        <v>633</v>
      </c>
      <c r="K842" s="144"/>
      <c r="L842" s="144" t="s">
        <v>637</v>
      </c>
    </row>
    <row r="843" spans="1:12" x14ac:dyDescent="0.3">
      <c r="A843" s="134">
        <v>91</v>
      </c>
      <c r="B843" s="134" t="e">
        <v>#N/A</v>
      </c>
      <c r="C843" s="134" t="s">
        <v>584</v>
      </c>
      <c r="D843" s="202" t="s">
        <v>714</v>
      </c>
      <c r="E843" s="158" t="s">
        <v>715</v>
      </c>
      <c r="F843" s="158" t="s">
        <v>715</v>
      </c>
      <c r="G843" s="168">
        <v>0.3</v>
      </c>
      <c r="H843" s="168">
        <v>0.3</v>
      </c>
      <c r="I843" s="164"/>
      <c r="J843" s="135" t="s">
        <v>715</v>
      </c>
      <c r="K843" s="135"/>
      <c r="L843" s="135" t="s">
        <v>550</v>
      </c>
    </row>
    <row r="844" spans="1:12" x14ac:dyDescent="0.3">
      <c r="A844" s="134">
        <v>91</v>
      </c>
      <c r="B844" s="134" t="e">
        <v>#N/A</v>
      </c>
      <c r="C844" s="134" t="s">
        <v>584</v>
      </c>
      <c r="D844" s="202" t="s">
        <v>714</v>
      </c>
      <c r="E844" s="158" t="s">
        <v>716</v>
      </c>
      <c r="F844" s="158" t="s">
        <v>716</v>
      </c>
      <c r="G844" s="168">
        <v>0.3</v>
      </c>
      <c r="H844" s="168">
        <v>0.3</v>
      </c>
      <c r="I844" s="164"/>
      <c r="J844" s="135" t="s">
        <v>716</v>
      </c>
      <c r="K844" s="135"/>
      <c r="L844" s="135" t="s">
        <v>550</v>
      </c>
    </row>
    <row r="845" spans="1:12" ht="28.8" x14ac:dyDescent="0.3">
      <c r="A845" s="134">
        <v>91</v>
      </c>
      <c r="B845" s="134" t="e">
        <v>#N/A</v>
      </c>
      <c r="C845" s="134" t="s">
        <v>584</v>
      </c>
      <c r="D845" s="202" t="s">
        <v>714</v>
      </c>
      <c r="E845" s="236" t="s">
        <v>717</v>
      </c>
      <c r="F845" s="236" t="s">
        <v>717</v>
      </c>
      <c r="G845" s="168">
        <v>0.15</v>
      </c>
      <c r="H845" s="168">
        <v>0.15</v>
      </c>
      <c r="I845" s="164"/>
      <c r="J845" s="237" t="s">
        <v>717</v>
      </c>
      <c r="K845" s="135"/>
      <c r="L845" s="135" t="s">
        <v>550</v>
      </c>
    </row>
    <row r="846" spans="1:12" x14ac:dyDescent="0.3">
      <c r="A846" s="134">
        <v>91</v>
      </c>
      <c r="B846" s="134" t="e">
        <v>#N/A</v>
      </c>
      <c r="C846" s="134" t="s">
        <v>584</v>
      </c>
      <c r="D846" s="202" t="s">
        <v>714</v>
      </c>
      <c r="E846" s="205" t="s">
        <v>610</v>
      </c>
      <c r="F846" s="205" t="s">
        <v>610</v>
      </c>
      <c r="G846" s="168">
        <v>0.25</v>
      </c>
      <c r="H846" s="168">
        <v>0.25</v>
      </c>
      <c r="I846" s="164"/>
      <c r="J846" s="206" t="s">
        <v>610</v>
      </c>
      <c r="K846" s="135"/>
      <c r="L846" s="135" t="s">
        <v>550</v>
      </c>
    </row>
    <row r="847" spans="1:12" x14ac:dyDescent="0.3">
      <c r="A847" s="134">
        <v>92</v>
      </c>
      <c r="B847" s="134" t="s">
        <v>1032</v>
      </c>
      <c r="C847" s="134" t="s">
        <v>718</v>
      </c>
      <c r="D847" s="202" t="s">
        <v>719</v>
      </c>
      <c r="E847" s="245" t="s">
        <v>520</v>
      </c>
      <c r="F847" s="245" t="s">
        <v>520</v>
      </c>
      <c r="G847" s="183">
        <v>0.1</v>
      </c>
      <c r="H847" s="183">
        <v>0.1</v>
      </c>
      <c r="I847" s="182" t="s">
        <v>521</v>
      </c>
      <c r="J847" s="246" t="s">
        <v>520</v>
      </c>
      <c r="K847" s="135"/>
      <c r="L847" s="135" t="s">
        <v>556</v>
      </c>
    </row>
    <row r="848" spans="1:12" x14ac:dyDescent="0.3">
      <c r="A848" s="134">
        <v>92</v>
      </c>
      <c r="B848" s="134" t="s">
        <v>1032</v>
      </c>
      <c r="C848" s="134" t="s">
        <v>718</v>
      </c>
      <c r="D848" s="202" t="s">
        <v>719</v>
      </c>
      <c r="E848" s="245" t="s">
        <v>630</v>
      </c>
      <c r="F848" s="245" t="s">
        <v>630</v>
      </c>
      <c r="G848" s="183">
        <v>0.1</v>
      </c>
      <c r="H848" s="183">
        <v>0.1</v>
      </c>
      <c r="I848" s="182" t="s">
        <v>631</v>
      </c>
      <c r="J848" s="246" t="s">
        <v>630</v>
      </c>
      <c r="K848" s="135"/>
      <c r="L848" s="135" t="s">
        <v>556</v>
      </c>
    </row>
    <row r="849" spans="1:12" x14ac:dyDescent="0.3">
      <c r="A849" s="134">
        <v>92</v>
      </c>
      <c r="B849" s="134" t="s">
        <v>1032</v>
      </c>
      <c r="C849" s="134" t="s">
        <v>718</v>
      </c>
      <c r="D849" s="202" t="s">
        <v>719</v>
      </c>
      <c r="E849" s="247" t="s">
        <v>524</v>
      </c>
      <c r="F849" s="247" t="s">
        <v>524</v>
      </c>
      <c r="G849" s="212">
        <v>0.1</v>
      </c>
      <c r="H849" s="183">
        <v>0.1</v>
      </c>
      <c r="I849" s="182">
        <v>0.65</v>
      </c>
      <c r="J849" s="248" t="s">
        <v>524</v>
      </c>
      <c r="K849" s="167"/>
      <c r="L849" s="135" t="s">
        <v>556</v>
      </c>
    </row>
    <row r="850" spans="1:12" x14ac:dyDescent="0.3">
      <c r="A850" s="134">
        <v>92</v>
      </c>
      <c r="B850" s="134" t="s">
        <v>1032</v>
      </c>
      <c r="C850" s="134" t="s">
        <v>718</v>
      </c>
      <c r="D850" s="202" t="s">
        <v>719</v>
      </c>
      <c r="E850" s="142" t="s">
        <v>720</v>
      </c>
      <c r="F850" s="142" t="s">
        <v>720</v>
      </c>
      <c r="G850" s="140">
        <v>0.2</v>
      </c>
      <c r="H850" s="183">
        <v>0.2</v>
      </c>
      <c r="I850" s="162" t="s">
        <v>721</v>
      </c>
      <c r="J850" s="249" t="s">
        <v>722</v>
      </c>
      <c r="K850" s="167"/>
      <c r="L850" s="135" t="s">
        <v>556</v>
      </c>
    </row>
    <row r="851" spans="1:12" x14ac:dyDescent="0.3">
      <c r="A851" s="134">
        <v>92</v>
      </c>
      <c r="B851" s="134" t="s">
        <v>1032</v>
      </c>
      <c r="C851" s="134" t="s">
        <v>718</v>
      </c>
      <c r="D851" s="202" t="s">
        <v>719</v>
      </c>
      <c r="E851" s="142" t="s">
        <v>723</v>
      </c>
      <c r="F851" s="142" t="s">
        <v>723</v>
      </c>
      <c r="G851" s="140">
        <v>0.15</v>
      </c>
      <c r="H851" s="183">
        <v>0.15</v>
      </c>
      <c r="I851" s="162" t="s">
        <v>721</v>
      </c>
      <c r="J851" s="249" t="s">
        <v>724</v>
      </c>
      <c r="K851" s="167"/>
      <c r="L851" s="135" t="s">
        <v>556</v>
      </c>
    </row>
    <row r="852" spans="1:12" x14ac:dyDescent="0.3">
      <c r="A852" s="134">
        <v>92</v>
      </c>
      <c r="B852" s="134" t="s">
        <v>1032</v>
      </c>
      <c r="C852" s="134" t="s">
        <v>718</v>
      </c>
      <c r="D852" s="202" t="s">
        <v>719</v>
      </c>
      <c r="E852" s="142" t="s">
        <v>725</v>
      </c>
      <c r="F852" s="142" t="s">
        <v>725</v>
      </c>
      <c r="G852" s="140">
        <v>0.15</v>
      </c>
      <c r="H852" s="183">
        <v>0.15</v>
      </c>
      <c r="I852" s="162" t="s">
        <v>726</v>
      </c>
      <c r="J852" s="249" t="s">
        <v>727</v>
      </c>
      <c r="K852" s="135"/>
      <c r="L852" s="135" t="s">
        <v>556</v>
      </c>
    </row>
    <row r="853" spans="1:12" x14ac:dyDescent="0.3">
      <c r="A853" s="134">
        <v>92</v>
      </c>
      <c r="B853" s="134" t="s">
        <v>1032</v>
      </c>
      <c r="C853" s="134" t="s">
        <v>718</v>
      </c>
      <c r="D853" s="202" t="s">
        <v>719</v>
      </c>
      <c r="E853" s="142" t="s">
        <v>728</v>
      </c>
      <c r="F853" s="142" t="s">
        <v>728</v>
      </c>
      <c r="G853" s="140">
        <v>0.2</v>
      </c>
      <c r="H853" s="183">
        <v>0.2</v>
      </c>
      <c r="I853" s="162">
        <v>0.9</v>
      </c>
      <c r="J853" s="249" t="s">
        <v>729</v>
      </c>
      <c r="K853" s="167"/>
      <c r="L853" s="135" t="s">
        <v>556</v>
      </c>
    </row>
    <row r="854" spans="1:12" x14ac:dyDescent="0.3">
      <c r="A854" s="143">
        <v>93</v>
      </c>
      <c r="B854" s="143" t="s">
        <v>1016</v>
      </c>
      <c r="C854" s="143" t="s">
        <v>730</v>
      </c>
      <c r="D854" s="229" t="s">
        <v>731</v>
      </c>
      <c r="E854" s="250" t="s">
        <v>520</v>
      </c>
      <c r="F854" s="250" t="s">
        <v>520</v>
      </c>
      <c r="G854" s="222">
        <v>0.1</v>
      </c>
      <c r="H854" s="222">
        <v>0.1</v>
      </c>
      <c r="I854" s="251" t="s">
        <v>521</v>
      </c>
      <c r="J854" s="252" t="s">
        <v>520</v>
      </c>
      <c r="K854" s="144"/>
      <c r="L854" s="144" t="s">
        <v>556</v>
      </c>
    </row>
    <row r="855" spans="1:12" x14ac:dyDescent="0.3">
      <c r="A855" s="143">
        <v>93</v>
      </c>
      <c r="B855" s="143" t="s">
        <v>1016</v>
      </c>
      <c r="C855" s="143" t="s">
        <v>730</v>
      </c>
      <c r="D855" s="229" t="s">
        <v>731</v>
      </c>
      <c r="E855" s="250" t="s">
        <v>630</v>
      </c>
      <c r="F855" s="250" t="s">
        <v>630</v>
      </c>
      <c r="G855" s="222">
        <v>0.1</v>
      </c>
      <c r="H855" s="222">
        <v>0.1</v>
      </c>
      <c r="I855" s="251" t="s">
        <v>523</v>
      </c>
      <c r="J855" s="252" t="s">
        <v>630</v>
      </c>
      <c r="K855" s="144"/>
      <c r="L855" s="144" t="s">
        <v>556</v>
      </c>
    </row>
    <row r="856" spans="1:12" x14ac:dyDescent="0.3">
      <c r="A856" s="143">
        <v>93</v>
      </c>
      <c r="B856" s="143" t="s">
        <v>1016</v>
      </c>
      <c r="C856" s="143" t="s">
        <v>730</v>
      </c>
      <c r="D856" s="229" t="s">
        <v>731</v>
      </c>
      <c r="E856" s="253" t="s">
        <v>524</v>
      </c>
      <c r="F856" s="253" t="s">
        <v>524</v>
      </c>
      <c r="G856" s="254">
        <v>0.1</v>
      </c>
      <c r="H856" s="222">
        <v>0.1</v>
      </c>
      <c r="I856" s="251">
        <v>0.65</v>
      </c>
      <c r="J856" s="255" t="s">
        <v>524</v>
      </c>
      <c r="K856" s="144"/>
      <c r="L856" s="144" t="s">
        <v>556</v>
      </c>
    </row>
    <row r="857" spans="1:12" x14ac:dyDescent="0.3">
      <c r="A857" s="143">
        <v>93</v>
      </c>
      <c r="B857" s="143" t="s">
        <v>1016</v>
      </c>
      <c r="C857" s="143" t="s">
        <v>730</v>
      </c>
      <c r="D857" s="229" t="s">
        <v>731</v>
      </c>
      <c r="E857" s="151" t="s">
        <v>732</v>
      </c>
      <c r="F857" s="151" t="s">
        <v>732</v>
      </c>
      <c r="G857" s="152">
        <v>0.2</v>
      </c>
      <c r="H857" s="222">
        <v>0.2</v>
      </c>
      <c r="I857" s="216" t="s">
        <v>721</v>
      </c>
      <c r="J857" s="256" t="s">
        <v>733</v>
      </c>
      <c r="K857" s="144"/>
      <c r="L857" s="144" t="s">
        <v>556</v>
      </c>
    </row>
    <row r="858" spans="1:12" x14ac:dyDescent="0.3">
      <c r="A858" s="143">
        <v>93</v>
      </c>
      <c r="B858" s="143" t="s">
        <v>1016</v>
      </c>
      <c r="C858" s="143" t="s">
        <v>730</v>
      </c>
      <c r="D858" s="229" t="s">
        <v>731</v>
      </c>
      <c r="E858" s="151" t="s">
        <v>723</v>
      </c>
      <c r="F858" s="151" t="s">
        <v>723</v>
      </c>
      <c r="G858" s="152">
        <v>0.15</v>
      </c>
      <c r="H858" s="222">
        <v>0.15</v>
      </c>
      <c r="I858" s="216" t="s">
        <v>721</v>
      </c>
      <c r="J858" s="256" t="s">
        <v>734</v>
      </c>
      <c r="K858" s="144"/>
      <c r="L858" s="144" t="s">
        <v>556</v>
      </c>
    </row>
    <row r="859" spans="1:12" x14ac:dyDescent="0.3">
      <c r="A859" s="143">
        <v>93</v>
      </c>
      <c r="B859" s="143" t="s">
        <v>1016</v>
      </c>
      <c r="C859" s="143" t="s">
        <v>730</v>
      </c>
      <c r="D859" s="229" t="s">
        <v>731</v>
      </c>
      <c r="E859" s="151" t="s">
        <v>725</v>
      </c>
      <c r="F859" s="151" t="s">
        <v>725</v>
      </c>
      <c r="G859" s="152">
        <v>0.15</v>
      </c>
      <c r="H859" s="222">
        <v>0.15</v>
      </c>
      <c r="I859" s="216" t="s">
        <v>726</v>
      </c>
      <c r="J859" s="256" t="s">
        <v>735</v>
      </c>
      <c r="K859" s="144"/>
      <c r="L859" s="144" t="s">
        <v>556</v>
      </c>
    </row>
    <row r="860" spans="1:12" x14ac:dyDescent="0.3">
      <c r="A860" s="143">
        <v>93</v>
      </c>
      <c r="B860" s="143" t="s">
        <v>1016</v>
      </c>
      <c r="C860" s="143" t="s">
        <v>730</v>
      </c>
      <c r="D860" s="229" t="s">
        <v>731</v>
      </c>
      <c r="E860" s="151" t="s">
        <v>728</v>
      </c>
      <c r="F860" s="151" t="s">
        <v>728</v>
      </c>
      <c r="G860" s="152">
        <v>0.2</v>
      </c>
      <c r="H860" s="222">
        <v>0.2</v>
      </c>
      <c r="I860" s="216">
        <v>0.7</v>
      </c>
      <c r="J860" s="256" t="s">
        <v>736</v>
      </c>
      <c r="K860" s="144"/>
      <c r="L860" s="144" t="s">
        <v>556</v>
      </c>
    </row>
    <row r="861" spans="1:12" x14ac:dyDescent="0.3">
      <c r="A861" s="143">
        <v>94</v>
      </c>
      <c r="B861" s="143" t="s">
        <v>1034</v>
      </c>
      <c r="C861" s="193" t="s">
        <v>737</v>
      </c>
      <c r="D861" s="229" t="s">
        <v>738</v>
      </c>
      <c r="E861" s="250" t="s">
        <v>739</v>
      </c>
      <c r="F861" s="250" t="s">
        <v>739</v>
      </c>
      <c r="G861" s="222">
        <v>0.2</v>
      </c>
      <c r="H861" s="222">
        <v>0.2</v>
      </c>
      <c r="I861" s="251">
        <v>0.7</v>
      </c>
      <c r="J861" s="252" t="s">
        <v>736</v>
      </c>
      <c r="K861" s="144"/>
      <c r="L861" s="144" t="s">
        <v>556</v>
      </c>
    </row>
    <row r="862" spans="1:12" x14ac:dyDescent="0.3">
      <c r="A862" s="143">
        <v>94</v>
      </c>
      <c r="B862" s="143" t="s">
        <v>1034</v>
      </c>
      <c r="C862" s="193" t="s">
        <v>737</v>
      </c>
      <c r="D862" s="229" t="s">
        <v>738</v>
      </c>
      <c r="E862" s="250" t="s">
        <v>740</v>
      </c>
      <c r="F862" s="250" t="s">
        <v>740</v>
      </c>
      <c r="G862" s="222">
        <v>0.2</v>
      </c>
      <c r="H862" s="222">
        <v>0.2</v>
      </c>
      <c r="I862" s="251">
        <v>0.9</v>
      </c>
      <c r="J862" s="252" t="s">
        <v>741</v>
      </c>
      <c r="K862" s="144"/>
      <c r="L862" s="144" t="s">
        <v>556</v>
      </c>
    </row>
    <row r="863" spans="1:12" x14ac:dyDescent="0.3">
      <c r="A863" s="143">
        <v>94</v>
      </c>
      <c r="B863" s="143" t="s">
        <v>1034</v>
      </c>
      <c r="C863" s="193" t="s">
        <v>737</v>
      </c>
      <c r="D863" s="229" t="s">
        <v>738</v>
      </c>
      <c r="E863" s="250" t="s">
        <v>630</v>
      </c>
      <c r="F863" s="250" t="s">
        <v>630</v>
      </c>
      <c r="G863" s="222">
        <v>0.1</v>
      </c>
      <c r="H863" s="222">
        <v>0.1</v>
      </c>
      <c r="I863" s="251" t="s">
        <v>631</v>
      </c>
      <c r="J863" s="252" t="s">
        <v>630</v>
      </c>
      <c r="K863" s="144"/>
      <c r="L863" s="144" t="s">
        <v>556</v>
      </c>
    </row>
    <row r="864" spans="1:12" x14ac:dyDescent="0.3">
      <c r="A864" s="143">
        <v>94</v>
      </c>
      <c r="B864" s="143" t="s">
        <v>1034</v>
      </c>
      <c r="C864" s="193" t="s">
        <v>737</v>
      </c>
      <c r="D864" s="229" t="s">
        <v>738</v>
      </c>
      <c r="E864" s="250" t="s">
        <v>742</v>
      </c>
      <c r="F864" s="250" t="s">
        <v>742</v>
      </c>
      <c r="G864" s="222">
        <v>0.15</v>
      </c>
      <c r="H864" s="222">
        <v>0.15</v>
      </c>
      <c r="I864" s="251">
        <v>0.95</v>
      </c>
      <c r="J864" s="252" t="s">
        <v>743</v>
      </c>
      <c r="K864" s="144"/>
      <c r="L864" s="144" t="s">
        <v>556</v>
      </c>
    </row>
    <row r="865" spans="1:12" x14ac:dyDescent="0.3">
      <c r="A865" s="143">
        <v>94</v>
      </c>
      <c r="B865" s="143" t="s">
        <v>1034</v>
      </c>
      <c r="C865" s="193" t="s">
        <v>737</v>
      </c>
      <c r="D865" s="229" t="s">
        <v>738</v>
      </c>
      <c r="E865" s="250" t="s">
        <v>744</v>
      </c>
      <c r="F865" s="250" t="s">
        <v>744</v>
      </c>
      <c r="G865" s="222">
        <v>0.1</v>
      </c>
      <c r="H865" s="222">
        <v>0.1</v>
      </c>
      <c r="I865" s="251" t="s">
        <v>745</v>
      </c>
      <c r="J865" s="252" t="s">
        <v>746</v>
      </c>
      <c r="K865" s="144"/>
      <c r="L865" s="144" t="s">
        <v>556</v>
      </c>
    </row>
    <row r="866" spans="1:12" x14ac:dyDescent="0.3">
      <c r="A866" s="143">
        <v>94</v>
      </c>
      <c r="B866" s="143" t="s">
        <v>1034</v>
      </c>
      <c r="C866" s="193" t="s">
        <v>737</v>
      </c>
      <c r="D866" s="229" t="s">
        <v>738</v>
      </c>
      <c r="E866" s="250" t="s">
        <v>520</v>
      </c>
      <c r="F866" s="250" t="s">
        <v>520</v>
      </c>
      <c r="G866" s="222">
        <v>0.05</v>
      </c>
      <c r="H866" s="222">
        <v>0.05</v>
      </c>
      <c r="I866" s="251" t="s">
        <v>521</v>
      </c>
      <c r="J866" s="252" t="s">
        <v>520</v>
      </c>
      <c r="K866" s="144"/>
      <c r="L866" s="144" t="s">
        <v>556</v>
      </c>
    </row>
    <row r="867" spans="1:12" x14ac:dyDescent="0.3">
      <c r="A867" s="143">
        <v>94</v>
      </c>
      <c r="B867" s="143" t="s">
        <v>1034</v>
      </c>
      <c r="C867" s="193" t="s">
        <v>737</v>
      </c>
      <c r="D867" s="229" t="s">
        <v>738</v>
      </c>
      <c r="E867" s="250" t="s">
        <v>524</v>
      </c>
      <c r="F867" s="250" t="s">
        <v>524</v>
      </c>
      <c r="G867" s="222">
        <v>0.05</v>
      </c>
      <c r="H867" s="222">
        <v>0.05</v>
      </c>
      <c r="I867" s="251">
        <v>0.65</v>
      </c>
      <c r="J867" s="252" t="s">
        <v>524</v>
      </c>
      <c r="K867" s="144"/>
      <c r="L867" s="144" t="s">
        <v>556</v>
      </c>
    </row>
    <row r="868" spans="1:12" x14ac:dyDescent="0.3">
      <c r="A868" s="143">
        <v>94</v>
      </c>
      <c r="B868" s="143" t="s">
        <v>1034</v>
      </c>
      <c r="C868" s="193" t="s">
        <v>737</v>
      </c>
      <c r="D868" s="229" t="s">
        <v>738</v>
      </c>
      <c r="E868" s="250" t="s">
        <v>747</v>
      </c>
      <c r="F868" s="250" t="s">
        <v>747</v>
      </c>
      <c r="G868" s="222">
        <v>0.05</v>
      </c>
      <c r="H868" s="222">
        <v>0.05</v>
      </c>
      <c r="I868" s="251">
        <v>0.01</v>
      </c>
      <c r="J868" s="252" t="s">
        <v>748</v>
      </c>
      <c r="K868" s="144"/>
      <c r="L868" s="144" t="s">
        <v>556</v>
      </c>
    </row>
    <row r="869" spans="1:12" x14ac:dyDescent="0.3">
      <c r="A869" s="143">
        <v>94</v>
      </c>
      <c r="B869" s="143" t="s">
        <v>1034</v>
      </c>
      <c r="C869" s="193" t="s">
        <v>737</v>
      </c>
      <c r="D869" s="229" t="s">
        <v>738</v>
      </c>
      <c r="E869" s="150" t="s">
        <v>749</v>
      </c>
      <c r="F869" s="150" t="s">
        <v>749</v>
      </c>
      <c r="G869" s="222">
        <v>0.1</v>
      </c>
      <c r="H869" s="222">
        <v>0.1</v>
      </c>
      <c r="I869" s="257">
        <v>3</v>
      </c>
      <c r="J869" s="252" t="s">
        <v>750</v>
      </c>
      <c r="K869" s="144"/>
      <c r="L869" s="144" t="s">
        <v>556</v>
      </c>
    </row>
    <row r="870" spans="1:12" ht="28.8" x14ac:dyDescent="0.3">
      <c r="A870" s="134">
        <v>95</v>
      </c>
      <c r="B870" s="134" t="s">
        <v>1012</v>
      </c>
      <c r="C870" s="134" t="s">
        <v>751</v>
      </c>
      <c r="D870" s="202" t="s">
        <v>752</v>
      </c>
      <c r="E870" s="245" t="s">
        <v>753</v>
      </c>
      <c r="F870" s="245" t="s">
        <v>753</v>
      </c>
      <c r="G870" s="183">
        <v>0.2</v>
      </c>
      <c r="H870" s="183">
        <v>0.2</v>
      </c>
      <c r="I870" s="182">
        <v>1</v>
      </c>
      <c r="J870" s="246" t="s">
        <v>754</v>
      </c>
      <c r="K870" s="137"/>
      <c r="L870" s="135" t="s">
        <v>556</v>
      </c>
    </row>
    <row r="871" spans="1:12" ht="28.8" x14ac:dyDescent="0.3">
      <c r="A871" s="134">
        <v>95</v>
      </c>
      <c r="B871" s="134" t="s">
        <v>1012</v>
      </c>
      <c r="C871" s="134" t="s">
        <v>751</v>
      </c>
      <c r="D871" s="202" t="s">
        <v>752</v>
      </c>
      <c r="E871" s="245" t="s">
        <v>542</v>
      </c>
      <c r="F871" s="245" t="s">
        <v>542</v>
      </c>
      <c r="G871" s="183">
        <v>0.2</v>
      </c>
      <c r="H871" s="183">
        <v>0.2</v>
      </c>
      <c r="I871" s="182">
        <v>1</v>
      </c>
      <c r="J871" s="246" t="s">
        <v>755</v>
      </c>
      <c r="K871" s="137"/>
      <c r="L871" s="135" t="s">
        <v>556</v>
      </c>
    </row>
    <row r="872" spans="1:12" ht="28.8" x14ac:dyDescent="0.3">
      <c r="A872" s="134">
        <v>95</v>
      </c>
      <c r="B872" s="134" t="s">
        <v>1012</v>
      </c>
      <c r="C872" s="134" t="s">
        <v>751</v>
      </c>
      <c r="D872" s="202" t="s">
        <v>752</v>
      </c>
      <c r="E872" s="245" t="s">
        <v>558</v>
      </c>
      <c r="F872" s="245" t="s">
        <v>558</v>
      </c>
      <c r="G872" s="183">
        <v>0.15</v>
      </c>
      <c r="H872" s="183">
        <v>0.15</v>
      </c>
      <c r="I872" s="182">
        <v>1</v>
      </c>
      <c r="J872" s="246" t="s">
        <v>756</v>
      </c>
      <c r="K872" s="137"/>
      <c r="L872" s="135" t="s">
        <v>556</v>
      </c>
    </row>
    <row r="873" spans="1:12" ht="28.8" x14ac:dyDescent="0.3">
      <c r="A873" s="134">
        <v>95</v>
      </c>
      <c r="B873" s="134" t="s">
        <v>1012</v>
      </c>
      <c r="C873" s="134" t="s">
        <v>751</v>
      </c>
      <c r="D873" s="202" t="s">
        <v>752</v>
      </c>
      <c r="E873" s="245" t="s">
        <v>512</v>
      </c>
      <c r="F873" s="245" t="s">
        <v>512</v>
      </c>
      <c r="G873" s="183">
        <v>0.1</v>
      </c>
      <c r="H873" s="183">
        <v>0.1</v>
      </c>
      <c r="I873" s="182">
        <v>1</v>
      </c>
      <c r="J873" s="246" t="s">
        <v>757</v>
      </c>
      <c r="K873" s="137"/>
      <c r="L873" s="135" t="s">
        <v>556</v>
      </c>
    </row>
    <row r="874" spans="1:12" ht="28.8" x14ac:dyDescent="0.3">
      <c r="A874" s="134">
        <v>95</v>
      </c>
      <c r="B874" s="134" t="s">
        <v>1012</v>
      </c>
      <c r="C874" s="134" t="s">
        <v>751</v>
      </c>
      <c r="D874" s="202" t="s">
        <v>752</v>
      </c>
      <c r="E874" s="245" t="s">
        <v>753</v>
      </c>
      <c r="F874" s="245" t="s">
        <v>753</v>
      </c>
      <c r="G874" s="183">
        <v>0.1</v>
      </c>
      <c r="H874" s="183">
        <v>0.1</v>
      </c>
      <c r="I874" s="182">
        <v>0.8</v>
      </c>
      <c r="J874" s="249" t="s">
        <v>758</v>
      </c>
      <c r="K874" s="135"/>
      <c r="L874" s="135" t="s">
        <v>556</v>
      </c>
    </row>
    <row r="875" spans="1:12" x14ac:dyDescent="0.3">
      <c r="A875" s="134">
        <v>95</v>
      </c>
      <c r="B875" s="134" t="s">
        <v>1012</v>
      </c>
      <c r="C875" s="134" t="s">
        <v>751</v>
      </c>
      <c r="D875" s="202" t="s">
        <v>752</v>
      </c>
      <c r="E875" s="245" t="s">
        <v>549</v>
      </c>
      <c r="F875" s="245" t="s">
        <v>549</v>
      </c>
      <c r="G875" s="183">
        <v>0.1</v>
      </c>
      <c r="H875" s="183">
        <v>0.1</v>
      </c>
      <c r="I875" s="182">
        <v>1</v>
      </c>
      <c r="J875" s="246" t="s">
        <v>759</v>
      </c>
      <c r="K875" s="167"/>
      <c r="L875" s="135" t="s">
        <v>556</v>
      </c>
    </row>
    <row r="876" spans="1:12" ht="28.8" x14ac:dyDescent="0.3">
      <c r="A876" s="134">
        <v>95</v>
      </c>
      <c r="B876" s="134" t="s">
        <v>1012</v>
      </c>
      <c r="C876" s="134" t="s">
        <v>751</v>
      </c>
      <c r="D876" s="202" t="s">
        <v>752</v>
      </c>
      <c r="E876" s="245" t="s">
        <v>538</v>
      </c>
      <c r="F876" s="245" t="s">
        <v>538</v>
      </c>
      <c r="G876" s="183">
        <v>0.1</v>
      </c>
      <c r="H876" s="183">
        <v>0.1</v>
      </c>
      <c r="I876" s="182">
        <v>1</v>
      </c>
      <c r="J876" s="246" t="s">
        <v>760</v>
      </c>
      <c r="K876" s="137"/>
      <c r="L876" s="135" t="s">
        <v>556</v>
      </c>
    </row>
    <row r="877" spans="1:12" ht="28.8" x14ac:dyDescent="0.3">
      <c r="A877" s="134">
        <v>95</v>
      </c>
      <c r="B877" s="134" t="s">
        <v>1012</v>
      </c>
      <c r="C877" s="134" t="s">
        <v>751</v>
      </c>
      <c r="D877" s="202" t="s">
        <v>752</v>
      </c>
      <c r="E877" s="247" t="s">
        <v>537</v>
      </c>
      <c r="F877" s="247" t="s">
        <v>537</v>
      </c>
      <c r="G877" s="183">
        <v>0.05</v>
      </c>
      <c r="H877" s="183">
        <v>0.05</v>
      </c>
      <c r="I877" s="182">
        <v>1</v>
      </c>
      <c r="J877" s="248" t="s">
        <v>761</v>
      </c>
      <c r="K877" s="137"/>
      <c r="L877" s="135" t="s">
        <v>556</v>
      </c>
    </row>
    <row r="878" spans="1:12" x14ac:dyDescent="0.3">
      <c r="A878" s="143">
        <v>96</v>
      </c>
      <c r="B878" s="143" t="s">
        <v>1014</v>
      </c>
      <c r="C878" s="143" t="s">
        <v>762</v>
      </c>
      <c r="D878" s="144" t="s">
        <v>763</v>
      </c>
      <c r="E878" s="250" t="s">
        <v>520</v>
      </c>
      <c r="F878" s="250" t="s">
        <v>520</v>
      </c>
      <c r="G878" s="222">
        <v>0.15</v>
      </c>
      <c r="H878" s="222">
        <v>0.15</v>
      </c>
      <c r="I878" s="251" t="s">
        <v>521</v>
      </c>
      <c r="J878" s="252" t="s">
        <v>520</v>
      </c>
      <c r="K878" s="144"/>
      <c r="L878" s="144" t="s">
        <v>556</v>
      </c>
    </row>
    <row r="879" spans="1:12" x14ac:dyDescent="0.3">
      <c r="A879" s="143">
        <v>96</v>
      </c>
      <c r="B879" s="143" t="s">
        <v>1014</v>
      </c>
      <c r="C879" s="143" t="s">
        <v>762</v>
      </c>
      <c r="D879" s="144" t="s">
        <v>763</v>
      </c>
      <c r="E879" s="250" t="s">
        <v>522</v>
      </c>
      <c r="F879" s="250" t="s">
        <v>522</v>
      </c>
      <c r="G879" s="222">
        <v>0.15</v>
      </c>
      <c r="H879" s="222">
        <v>0.15</v>
      </c>
      <c r="I879" s="251" t="s">
        <v>523</v>
      </c>
      <c r="J879" s="252" t="s">
        <v>522</v>
      </c>
      <c r="K879" s="144"/>
      <c r="L879" s="144" t="s">
        <v>556</v>
      </c>
    </row>
    <row r="880" spans="1:12" x14ac:dyDescent="0.3">
      <c r="A880" s="143">
        <v>96</v>
      </c>
      <c r="B880" s="143" t="s">
        <v>1014</v>
      </c>
      <c r="C880" s="143" t="s">
        <v>762</v>
      </c>
      <c r="D880" s="144" t="s">
        <v>763</v>
      </c>
      <c r="E880" s="253" t="s">
        <v>524</v>
      </c>
      <c r="F880" s="253" t="s">
        <v>524</v>
      </c>
      <c r="G880" s="254">
        <v>0.2</v>
      </c>
      <c r="H880" s="222">
        <v>0.2</v>
      </c>
      <c r="I880" s="251">
        <v>0.65</v>
      </c>
      <c r="J880" s="255" t="s">
        <v>524</v>
      </c>
      <c r="K880" s="144"/>
      <c r="L880" s="144" t="s">
        <v>556</v>
      </c>
    </row>
    <row r="881" spans="1:12" x14ac:dyDescent="0.3">
      <c r="A881" s="143">
        <v>96</v>
      </c>
      <c r="B881" s="143" t="s">
        <v>1014</v>
      </c>
      <c r="C881" s="143" t="s">
        <v>762</v>
      </c>
      <c r="D881" s="144" t="s">
        <v>763</v>
      </c>
      <c r="E881" s="250" t="s">
        <v>747</v>
      </c>
      <c r="F881" s="250" t="s">
        <v>747</v>
      </c>
      <c r="G881" s="222">
        <v>0.1</v>
      </c>
      <c r="H881" s="222">
        <v>0.1</v>
      </c>
      <c r="I881" s="251">
        <v>0.01</v>
      </c>
      <c r="J881" s="252" t="s">
        <v>748</v>
      </c>
      <c r="K881" s="144"/>
      <c r="L881" s="144" t="s">
        <v>556</v>
      </c>
    </row>
    <row r="882" spans="1:12" x14ac:dyDescent="0.3">
      <c r="A882" s="143">
        <v>96</v>
      </c>
      <c r="B882" s="143" t="s">
        <v>1014</v>
      </c>
      <c r="C882" s="143" t="s">
        <v>762</v>
      </c>
      <c r="D882" s="144" t="s">
        <v>763</v>
      </c>
      <c r="E882" s="150" t="s">
        <v>764</v>
      </c>
      <c r="F882" s="150" t="s">
        <v>764</v>
      </c>
      <c r="G882" s="254">
        <v>0.2</v>
      </c>
      <c r="H882" s="222">
        <v>0.2</v>
      </c>
      <c r="I882" s="152">
        <v>0.3</v>
      </c>
      <c r="J882" s="258" t="s">
        <v>765</v>
      </c>
      <c r="K882" s="144"/>
      <c r="L882" s="144" t="s">
        <v>556</v>
      </c>
    </row>
    <row r="883" spans="1:12" x14ac:dyDescent="0.3">
      <c r="A883" s="143">
        <v>96</v>
      </c>
      <c r="B883" s="143" t="s">
        <v>1014</v>
      </c>
      <c r="C883" s="143" t="s">
        <v>762</v>
      </c>
      <c r="D883" s="144" t="s">
        <v>763</v>
      </c>
      <c r="E883" s="150" t="s">
        <v>766</v>
      </c>
      <c r="F883" s="150" t="s">
        <v>766</v>
      </c>
      <c r="G883" s="152">
        <v>0.1</v>
      </c>
      <c r="H883" s="222">
        <v>0.1</v>
      </c>
      <c r="I883" s="152">
        <v>1</v>
      </c>
      <c r="J883" s="258" t="s">
        <v>767</v>
      </c>
      <c r="K883" s="172"/>
      <c r="L883" s="144" t="s">
        <v>556</v>
      </c>
    </row>
    <row r="884" spans="1:12" x14ac:dyDescent="0.3">
      <c r="A884" s="143">
        <v>96</v>
      </c>
      <c r="B884" s="143" t="s">
        <v>1014</v>
      </c>
      <c r="C884" s="143" t="s">
        <v>762</v>
      </c>
      <c r="D884" s="144" t="s">
        <v>763</v>
      </c>
      <c r="E884" s="150" t="s">
        <v>768</v>
      </c>
      <c r="F884" s="150" t="s">
        <v>768</v>
      </c>
      <c r="G884" s="152">
        <v>0.1</v>
      </c>
      <c r="H884" s="222">
        <v>0.1</v>
      </c>
      <c r="I884" s="152">
        <v>1</v>
      </c>
      <c r="J884" s="258" t="s">
        <v>769</v>
      </c>
      <c r="K884" s="144"/>
      <c r="L884" s="144" t="s">
        <v>556</v>
      </c>
    </row>
    <row r="885" spans="1:12" ht="28.8" x14ac:dyDescent="0.3">
      <c r="A885" s="134">
        <v>97</v>
      </c>
      <c r="B885" s="134" t="s">
        <v>773</v>
      </c>
      <c r="C885" s="135" t="s">
        <v>770</v>
      </c>
      <c r="D885" s="135" t="s">
        <v>771</v>
      </c>
      <c r="E885" s="245" t="s">
        <v>772</v>
      </c>
      <c r="F885" s="245" t="s">
        <v>772</v>
      </c>
      <c r="G885" s="183">
        <v>0.15</v>
      </c>
      <c r="H885" s="183">
        <v>0.15</v>
      </c>
      <c r="I885" s="182" t="s">
        <v>521</v>
      </c>
      <c r="J885" s="246" t="s">
        <v>772</v>
      </c>
      <c r="K885" s="135"/>
      <c r="L885" s="135" t="s">
        <v>556</v>
      </c>
    </row>
    <row r="886" spans="1:12" x14ac:dyDescent="0.3">
      <c r="A886" s="134">
        <v>97</v>
      </c>
      <c r="B886" s="134" t="s">
        <v>773</v>
      </c>
      <c r="C886" s="135" t="s">
        <v>770</v>
      </c>
      <c r="D886" s="135" t="s">
        <v>771</v>
      </c>
      <c r="E886" s="247" t="s">
        <v>524</v>
      </c>
      <c r="F886" s="247" t="s">
        <v>524</v>
      </c>
      <c r="G886" s="183">
        <v>0.15</v>
      </c>
      <c r="H886" s="183">
        <v>0.15</v>
      </c>
      <c r="I886" s="182">
        <v>0.65</v>
      </c>
      <c r="J886" s="248" t="s">
        <v>524</v>
      </c>
      <c r="K886" s="135"/>
      <c r="L886" s="135" t="s">
        <v>556</v>
      </c>
    </row>
    <row r="887" spans="1:12" x14ac:dyDescent="0.3">
      <c r="A887" s="134">
        <v>97</v>
      </c>
      <c r="B887" s="134" t="s">
        <v>773</v>
      </c>
      <c r="C887" s="135" t="s">
        <v>770</v>
      </c>
      <c r="D887" s="135" t="s">
        <v>771</v>
      </c>
      <c r="E887" s="247" t="s">
        <v>774</v>
      </c>
      <c r="F887" s="247" t="s">
        <v>774</v>
      </c>
      <c r="G887" s="183">
        <v>0.15</v>
      </c>
      <c r="H887" s="183">
        <v>0.15</v>
      </c>
      <c r="I887" s="182">
        <v>0.65</v>
      </c>
      <c r="J887" s="248" t="s">
        <v>774</v>
      </c>
      <c r="K887" s="135"/>
      <c r="L887" s="135" t="s">
        <v>556</v>
      </c>
    </row>
    <row r="888" spans="1:12" ht="28.8" x14ac:dyDescent="0.3">
      <c r="A888" s="134">
        <v>97</v>
      </c>
      <c r="B888" s="134" t="s">
        <v>773</v>
      </c>
      <c r="C888" s="135" t="s">
        <v>770</v>
      </c>
      <c r="D888" s="135" t="s">
        <v>771</v>
      </c>
      <c r="E888" s="247" t="s">
        <v>775</v>
      </c>
      <c r="F888" s="247" t="s">
        <v>775</v>
      </c>
      <c r="G888" s="183">
        <v>0.15</v>
      </c>
      <c r="H888" s="183">
        <v>0.2</v>
      </c>
      <c r="I888" s="182">
        <v>0.7</v>
      </c>
      <c r="J888" s="248" t="s">
        <v>775</v>
      </c>
      <c r="K888" s="135"/>
      <c r="L888" s="135" t="s">
        <v>556</v>
      </c>
    </row>
    <row r="889" spans="1:12" x14ac:dyDescent="0.3">
      <c r="A889" s="134">
        <v>97</v>
      </c>
      <c r="B889" s="134" t="s">
        <v>773</v>
      </c>
      <c r="C889" s="135" t="s">
        <v>770</v>
      </c>
      <c r="D889" s="135" t="s">
        <v>771</v>
      </c>
      <c r="E889" s="141" t="s">
        <v>776</v>
      </c>
      <c r="F889" s="141" t="s">
        <v>776</v>
      </c>
      <c r="G889" s="140">
        <v>0.15</v>
      </c>
      <c r="H889" s="183">
        <v>0.15</v>
      </c>
      <c r="I889" s="140">
        <v>0.8</v>
      </c>
      <c r="J889" s="259" t="s">
        <v>776</v>
      </c>
      <c r="K889" s="167"/>
      <c r="L889" s="167" t="s">
        <v>556</v>
      </c>
    </row>
    <row r="890" spans="1:12" x14ac:dyDescent="0.3">
      <c r="A890" s="134">
        <v>97</v>
      </c>
      <c r="B890" s="134" t="s">
        <v>773</v>
      </c>
      <c r="C890" s="135" t="s">
        <v>770</v>
      </c>
      <c r="D890" s="135" t="s">
        <v>771</v>
      </c>
      <c r="E890" s="141" t="s">
        <v>749</v>
      </c>
      <c r="F890" s="141" t="s">
        <v>749</v>
      </c>
      <c r="G890" s="140">
        <v>0.2</v>
      </c>
      <c r="H890" s="183">
        <v>0.2</v>
      </c>
      <c r="I890" s="260">
        <v>3</v>
      </c>
      <c r="J890" s="259" t="s">
        <v>749</v>
      </c>
      <c r="K890" s="135"/>
      <c r="L890" s="135" t="s">
        <v>556</v>
      </c>
    </row>
    <row r="891" spans="1:12" x14ac:dyDescent="0.3">
      <c r="A891" s="134">
        <v>97</v>
      </c>
      <c r="B891" s="134" t="s">
        <v>773</v>
      </c>
      <c r="C891" s="135" t="s">
        <v>770</v>
      </c>
      <c r="D891" s="135" t="s">
        <v>771</v>
      </c>
      <c r="E891" s="141" t="s">
        <v>777</v>
      </c>
      <c r="F891" s="141" t="s">
        <v>777</v>
      </c>
      <c r="G891" s="140">
        <v>0.05</v>
      </c>
      <c r="H891" s="183">
        <v>0.05</v>
      </c>
      <c r="I891" s="260">
        <v>1</v>
      </c>
      <c r="J891" s="259" t="s">
        <v>777</v>
      </c>
      <c r="K891" s="167"/>
      <c r="L891" s="167" t="s">
        <v>556</v>
      </c>
    </row>
    <row r="892" spans="1:12" x14ac:dyDescent="0.3">
      <c r="A892" s="144">
        <v>98</v>
      </c>
      <c r="B892" s="143" t="s">
        <v>778</v>
      </c>
      <c r="C892" s="143" t="s">
        <v>779</v>
      </c>
      <c r="D892" s="144" t="s">
        <v>780</v>
      </c>
      <c r="E892" s="250" t="s">
        <v>740</v>
      </c>
      <c r="F892" s="250" t="s">
        <v>740</v>
      </c>
      <c r="G892" s="222">
        <v>0.3</v>
      </c>
      <c r="H892" s="222">
        <v>0.3</v>
      </c>
      <c r="I892" s="251">
        <v>0.9</v>
      </c>
      <c r="J892" s="252" t="s">
        <v>741</v>
      </c>
      <c r="K892" s="261" t="s">
        <v>781</v>
      </c>
      <c r="L892" s="144" t="s">
        <v>556</v>
      </c>
    </row>
    <row r="893" spans="1:12" ht="72" x14ac:dyDescent="0.3">
      <c r="A893" s="144">
        <v>98</v>
      </c>
      <c r="B893" s="143" t="s">
        <v>778</v>
      </c>
      <c r="C893" s="143" t="s">
        <v>779</v>
      </c>
      <c r="D893" s="144" t="s">
        <v>780</v>
      </c>
      <c r="E893" s="250" t="s">
        <v>782</v>
      </c>
      <c r="F893" s="250" t="s">
        <v>782</v>
      </c>
      <c r="G893" s="222">
        <v>0.2</v>
      </c>
      <c r="H893" s="222">
        <v>0.2</v>
      </c>
      <c r="I893" s="251">
        <v>0.95</v>
      </c>
      <c r="J893" s="252" t="s">
        <v>783</v>
      </c>
      <c r="K893" s="261" t="s">
        <v>781</v>
      </c>
      <c r="L893" s="144" t="s">
        <v>556</v>
      </c>
    </row>
    <row r="894" spans="1:12" x14ac:dyDescent="0.3">
      <c r="A894" s="144">
        <v>98</v>
      </c>
      <c r="B894" s="143" t="s">
        <v>778</v>
      </c>
      <c r="C894" s="143" t="s">
        <v>779</v>
      </c>
      <c r="D894" s="144" t="s">
        <v>780</v>
      </c>
      <c r="E894" s="250" t="s">
        <v>784</v>
      </c>
      <c r="F894" s="250" t="s">
        <v>784</v>
      </c>
      <c r="G894" s="222">
        <v>0.1</v>
      </c>
      <c r="H894" s="222">
        <v>0.1</v>
      </c>
      <c r="I894" s="251">
        <v>0.65</v>
      </c>
      <c r="J894" s="252" t="s">
        <v>784</v>
      </c>
      <c r="K894" s="261" t="s">
        <v>781</v>
      </c>
      <c r="L894" s="144" t="s">
        <v>556</v>
      </c>
    </row>
    <row r="895" spans="1:12" x14ac:dyDescent="0.3">
      <c r="A895" s="144">
        <v>98</v>
      </c>
      <c r="B895" s="143" t="s">
        <v>778</v>
      </c>
      <c r="C895" s="143" t="s">
        <v>779</v>
      </c>
      <c r="D895" s="144" t="s">
        <v>780</v>
      </c>
      <c r="E895" s="250" t="s">
        <v>785</v>
      </c>
      <c r="F895" s="250" t="s">
        <v>785</v>
      </c>
      <c r="G895" s="222">
        <v>0.1</v>
      </c>
      <c r="H895" s="222">
        <v>0.1</v>
      </c>
      <c r="I895" s="251" t="s">
        <v>786</v>
      </c>
      <c r="J895" s="252" t="s">
        <v>787</v>
      </c>
      <c r="K895" s="261" t="s">
        <v>781</v>
      </c>
      <c r="L895" s="144" t="s">
        <v>556</v>
      </c>
    </row>
    <row r="896" spans="1:12" x14ac:dyDescent="0.3">
      <c r="A896" s="144">
        <v>98</v>
      </c>
      <c r="B896" s="143" t="s">
        <v>778</v>
      </c>
      <c r="C896" s="143" t="s">
        <v>779</v>
      </c>
      <c r="D896" s="144" t="s">
        <v>780</v>
      </c>
      <c r="E896" s="250" t="s">
        <v>630</v>
      </c>
      <c r="F896" s="250" t="s">
        <v>630</v>
      </c>
      <c r="G896" s="222">
        <v>0.1</v>
      </c>
      <c r="H896" s="222">
        <v>0.1</v>
      </c>
      <c r="I896" s="251" t="s">
        <v>631</v>
      </c>
      <c r="J896" s="252" t="s">
        <v>630</v>
      </c>
      <c r="K896" s="261" t="s">
        <v>781</v>
      </c>
      <c r="L896" s="144" t="s">
        <v>556</v>
      </c>
    </row>
    <row r="897" spans="1:12" x14ac:dyDescent="0.3">
      <c r="A897" s="144">
        <v>98</v>
      </c>
      <c r="B897" s="143" t="s">
        <v>778</v>
      </c>
      <c r="C897" s="143" t="s">
        <v>779</v>
      </c>
      <c r="D897" s="144" t="s">
        <v>780</v>
      </c>
      <c r="E897" s="250" t="s">
        <v>747</v>
      </c>
      <c r="F897" s="250" t="s">
        <v>747</v>
      </c>
      <c r="G897" s="222">
        <v>0.1</v>
      </c>
      <c r="H897" s="222">
        <v>0.1</v>
      </c>
      <c r="I897" s="251">
        <v>0.01</v>
      </c>
      <c r="J897" s="252" t="s">
        <v>788</v>
      </c>
      <c r="K897" s="261" t="s">
        <v>781</v>
      </c>
      <c r="L897" s="144" t="s">
        <v>556</v>
      </c>
    </row>
    <row r="898" spans="1:12" x14ac:dyDescent="0.3">
      <c r="A898" s="144">
        <v>98</v>
      </c>
      <c r="B898" s="143" t="s">
        <v>778</v>
      </c>
      <c r="C898" s="143" t="s">
        <v>779</v>
      </c>
      <c r="D898" s="144" t="s">
        <v>780</v>
      </c>
      <c r="E898" s="250" t="s">
        <v>789</v>
      </c>
      <c r="F898" s="250" t="s">
        <v>789</v>
      </c>
      <c r="G898" s="222">
        <v>0.1</v>
      </c>
      <c r="H898" s="222">
        <v>0.1</v>
      </c>
      <c r="I898" s="251">
        <v>1</v>
      </c>
      <c r="J898" s="252" t="s">
        <v>790</v>
      </c>
      <c r="K898" s="261" t="s">
        <v>781</v>
      </c>
      <c r="L898" s="144" t="s">
        <v>556</v>
      </c>
    </row>
    <row r="899" spans="1:12" x14ac:dyDescent="0.3">
      <c r="A899" s="144">
        <v>99</v>
      </c>
      <c r="B899" s="143" t="s">
        <v>791</v>
      </c>
      <c r="C899" s="143" t="s">
        <v>792</v>
      </c>
      <c r="D899" s="144" t="s">
        <v>793</v>
      </c>
      <c r="E899" s="250" t="s">
        <v>794</v>
      </c>
      <c r="F899" s="250" t="s">
        <v>794</v>
      </c>
      <c r="G899" s="222">
        <v>0.3</v>
      </c>
      <c r="H899" s="222">
        <v>0.3</v>
      </c>
      <c r="I899" s="251">
        <v>0.9</v>
      </c>
      <c r="J899" s="252" t="s">
        <v>795</v>
      </c>
      <c r="K899" s="261" t="s">
        <v>781</v>
      </c>
      <c r="L899" s="144" t="s">
        <v>556</v>
      </c>
    </row>
    <row r="900" spans="1:12" x14ac:dyDescent="0.3">
      <c r="A900" s="144">
        <v>99</v>
      </c>
      <c r="B900" s="143" t="s">
        <v>791</v>
      </c>
      <c r="C900" s="143" t="s">
        <v>792</v>
      </c>
      <c r="D900" s="144" t="s">
        <v>793</v>
      </c>
      <c r="E900" s="250" t="s">
        <v>744</v>
      </c>
      <c r="F900" s="250" t="s">
        <v>744</v>
      </c>
      <c r="G900" s="222">
        <v>0.2</v>
      </c>
      <c r="H900" s="222">
        <v>0.2</v>
      </c>
      <c r="I900" s="251" t="s">
        <v>745</v>
      </c>
      <c r="J900" s="252" t="s">
        <v>746</v>
      </c>
      <c r="K900" s="261" t="s">
        <v>781</v>
      </c>
      <c r="L900" s="144" t="s">
        <v>556</v>
      </c>
    </row>
    <row r="901" spans="1:12" ht="72" x14ac:dyDescent="0.3">
      <c r="A901" s="144">
        <v>99</v>
      </c>
      <c r="B901" s="143" t="s">
        <v>791</v>
      </c>
      <c r="C901" s="143" t="s">
        <v>792</v>
      </c>
      <c r="D901" s="144" t="s">
        <v>793</v>
      </c>
      <c r="E901" s="250" t="s">
        <v>782</v>
      </c>
      <c r="F901" s="250" t="s">
        <v>782</v>
      </c>
      <c r="G901" s="222">
        <v>0.2</v>
      </c>
      <c r="H901" s="222">
        <v>0.2</v>
      </c>
      <c r="I901" s="251">
        <v>0.95</v>
      </c>
      <c r="J901" s="252" t="s">
        <v>783</v>
      </c>
      <c r="K901" s="261" t="s">
        <v>781</v>
      </c>
      <c r="L901" s="144" t="s">
        <v>556</v>
      </c>
    </row>
    <row r="902" spans="1:12" x14ac:dyDescent="0.3">
      <c r="A902" s="144">
        <v>99</v>
      </c>
      <c r="B902" s="143" t="s">
        <v>791</v>
      </c>
      <c r="C902" s="143" t="s">
        <v>792</v>
      </c>
      <c r="D902" s="144" t="s">
        <v>793</v>
      </c>
      <c r="E902" s="250" t="s">
        <v>630</v>
      </c>
      <c r="F902" s="250" t="s">
        <v>630</v>
      </c>
      <c r="G902" s="222">
        <v>0.15</v>
      </c>
      <c r="H902" s="222">
        <v>0.15</v>
      </c>
      <c r="I902" s="251" t="s">
        <v>631</v>
      </c>
      <c r="J902" s="252" t="s">
        <v>630</v>
      </c>
      <c r="K902" s="261" t="s">
        <v>781</v>
      </c>
      <c r="L902" s="144" t="s">
        <v>556</v>
      </c>
    </row>
    <row r="903" spans="1:12" x14ac:dyDescent="0.3">
      <c r="A903" s="144">
        <v>99</v>
      </c>
      <c r="B903" s="143" t="s">
        <v>791</v>
      </c>
      <c r="C903" s="143" t="s">
        <v>792</v>
      </c>
      <c r="D903" s="144" t="s">
        <v>793</v>
      </c>
      <c r="E903" s="250" t="s">
        <v>796</v>
      </c>
      <c r="F903" s="250" t="s">
        <v>796</v>
      </c>
      <c r="G903" s="222">
        <v>0.15</v>
      </c>
      <c r="H903" s="222">
        <v>0.15</v>
      </c>
      <c r="I903" s="251" t="s">
        <v>797</v>
      </c>
      <c r="J903" s="252" t="s">
        <v>798</v>
      </c>
      <c r="K903" s="261" t="s">
        <v>781</v>
      </c>
      <c r="L903" s="144" t="s">
        <v>556</v>
      </c>
    </row>
    <row r="904" spans="1:12" x14ac:dyDescent="0.3">
      <c r="A904" s="144">
        <v>100</v>
      </c>
      <c r="B904" s="143" t="s">
        <v>799</v>
      </c>
      <c r="C904" s="143" t="s">
        <v>800</v>
      </c>
      <c r="D904" s="144" t="s">
        <v>793</v>
      </c>
      <c r="E904" s="250" t="s">
        <v>794</v>
      </c>
      <c r="F904" s="250" t="s">
        <v>794</v>
      </c>
      <c r="G904" s="222">
        <v>0.3</v>
      </c>
      <c r="H904" s="222">
        <v>0.3</v>
      </c>
      <c r="I904" s="251">
        <v>0.9</v>
      </c>
      <c r="J904" s="252" t="s">
        <v>795</v>
      </c>
      <c r="K904" s="261" t="s">
        <v>781</v>
      </c>
      <c r="L904" s="144" t="e">
        <v>#REF!</v>
      </c>
    </row>
    <row r="905" spans="1:12" x14ac:dyDescent="0.3">
      <c r="A905" s="144">
        <v>100</v>
      </c>
      <c r="B905" s="143" t="s">
        <v>799</v>
      </c>
      <c r="C905" s="143" t="s">
        <v>800</v>
      </c>
      <c r="D905" s="144" t="s">
        <v>793</v>
      </c>
      <c r="E905" s="250" t="s">
        <v>744</v>
      </c>
      <c r="F905" s="250" t="s">
        <v>744</v>
      </c>
      <c r="G905" s="222">
        <v>0.2</v>
      </c>
      <c r="H905" s="222">
        <v>0.2</v>
      </c>
      <c r="I905" s="251" t="s">
        <v>745</v>
      </c>
      <c r="J905" s="252" t="s">
        <v>746</v>
      </c>
      <c r="K905" s="261" t="s">
        <v>781</v>
      </c>
      <c r="L905" s="144" t="s">
        <v>556</v>
      </c>
    </row>
    <row r="906" spans="1:12" ht="72" x14ac:dyDescent="0.3">
      <c r="A906" s="144">
        <v>100</v>
      </c>
      <c r="B906" s="143" t="s">
        <v>799</v>
      </c>
      <c r="C906" s="143" t="s">
        <v>800</v>
      </c>
      <c r="D906" s="144" t="s">
        <v>793</v>
      </c>
      <c r="E906" s="250" t="s">
        <v>782</v>
      </c>
      <c r="F906" s="250" t="s">
        <v>782</v>
      </c>
      <c r="G906" s="222">
        <v>0.2</v>
      </c>
      <c r="H906" s="222">
        <v>0.2</v>
      </c>
      <c r="I906" s="251">
        <v>0.95</v>
      </c>
      <c r="J906" s="252" t="s">
        <v>783</v>
      </c>
      <c r="K906" s="261" t="s">
        <v>781</v>
      </c>
      <c r="L906" s="144" t="s">
        <v>556</v>
      </c>
    </row>
    <row r="907" spans="1:12" x14ac:dyDescent="0.3">
      <c r="A907" s="144">
        <v>100</v>
      </c>
      <c r="B907" s="143" t="s">
        <v>799</v>
      </c>
      <c r="C907" s="143" t="s">
        <v>800</v>
      </c>
      <c r="D907" s="144" t="s">
        <v>793</v>
      </c>
      <c r="E907" s="250" t="s">
        <v>630</v>
      </c>
      <c r="F907" s="250" t="s">
        <v>630</v>
      </c>
      <c r="G907" s="222">
        <v>0.15</v>
      </c>
      <c r="H907" s="222">
        <v>0.15</v>
      </c>
      <c r="I907" s="251" t="s">
        <v>631</v>
      </c>
      <c r="J907" s="252" t="s">
        <v>630</v>
      </c>
      <c r="K907" s="261" t="s">
        <v>781</v>
      </c>
      <c r="L907" s="144" t="s">
        <v>556</v>
      </c>
    </row>
    <row r="908" spans="1:12" x14ac:dyDescent="0.3">
      <c r="A908" s="144">
        <v>100</v>
      </c>
      <c r="B908" s="143" t="s">
        <v>799</v>
      </c>
      <c r="C908" s="143" t="s">
        <v>800</v>
      </c>
      <c r="D908" s="144" t="s">
        <v>793</v>
      </c>
      <c r="E908" s="250" t="s">
        <v>796</v>
      </c>
      <c r="F908" s="250" t="s">
        <v>796</v>
      </c>
      <c r="G908" s="222">
        <v>0.15</v>
      </c>
      <c r="H908" s="222">
        <v>0.15</v>
      </c>
      <c r="I908" s="251" t="s">
        <v>797</v>
      </c>
      <c r="J908" s="252" t="s">
        <v>798</v>
      </c>
      <c r="K908" s="261" t="s">
        <v>781</v>
      </c>
      <c r="L908" s="144" t="s">
        <v>556</v>
      </c>
    </row>
    <row r="909" spans="1:12" x14ac:dyDescent="0.3">
      <c r="A909" s="144">
        <v>101</v>
      </c>
      <c r="B909" s="143" t="s">
        <v>801</v>
      </c>
      <c r="C909" s="143" t="s">
        <v>802</v>
      </c>
      <c r="D909" s="144" t="s">
        <v>793</v>
      </c>
      <c r="E909" s="250" t="s">
        <v>794</v>
      </c>
      <c r="F909" s="250" t="s">
        <v>794</v>
      </c>
      <c r="G909" s="222">
        <v>0.3</v>
      </c>
      <c r="H909" s="222">
        <v>0.3</v>
      </c>
      <c r="I909" s="251">
        <v>0.9</v>
      </c>
      <c r="J909" s="252" t="s">
        <v>795</v>
      </c>
      <c r="K909" s="261" t="s">
        <v>781</v>
      </c>
      <c r="L909" s="144" t="s">
        <v>556</v>
      </c>
    </row>
    <row r="910" spans="1:12" x14ac:dyDescent="0.3">
      <c r="A910" s="144">
        <v>101</v>
      </c>
      <c r="B910" s="143" t="s">
        <v>801</v>
      </c>
      <c r="C910" s="143" t="s">
        <v>802</v>
      </c>
      <c r="D910" s="144" t="s">
        <v>793</v>
      </c>
      <c r="E910" s="250" t="s">
        <v>744</v>
      </c>
      <c r="F910" s="250" t="s">
        <v>744</v>
      </c>
      <c r="G910" s="222">
        <v>0.2</v>
      </c>
      <c r="H910" s="222">
        <v>0.2</v>
      </c>
      <c r="I910" s="251" t="s">
        <v>745</v>
      </c>
      <c r="J910" s="252" t="s">
        <v>746</v>
      </c>
      <c r="K910" s="261" t="s">
        <v>781</v>
      </c>
      <c r="L910" s="144" t="s">
        <v>556</v>
      </c>
    </row>
    <row r="911" spans="1:12" ht="72" x14ac:dyDescent="0.3">
      <c r="A911" s="144">
        <v>101</v>
      </c>
      <c r="B911" s="143" t="s">
        <v>801</v>
      </c>
      <c r="C911" s="143" t="s">
        <v>802</v>
      </c>
      <c r="D911" s="144" t="s">
        <v>793</v>
      </c>
      <c r="E911" s="250" t="s">
        <v>782</v>
      </c>
      <c r="F911" s="250" t="s">
        <v>782</v>
      </c>
      <c r="G911" s="222">
        <v>0.2</v>
      </c>
      <c r="H911" s="222">
        <v>0.2</v>
      </c>
      <c r="I911" s="251">
        <v>0.95</v>
      </c>
      <c r="J911" s="252" t="s">
        <v>783</v>
      </c>
      <c r="K911" s="261" t="s">
        <v>781</v>
      </c>
      <c r="L911" s="144" t="s">
        <v>556</v>
      </c>
    </row>
    <row r="912" spans="1:12" x14ac:dyDescent="0.3">
      <c r="A912" s="144">
        <v>101</v>
      </c>
      <c r="B912" s="143" t="s">
        <v>801</v>
      </c>
      <c r="C912" s="143" t="s">
        <v>802</v>
      </c>
      <c r="D912" s="144" t="s">
        <v>793</v>
      </c>
      <c r="E912" s="250" t="s">
        <v>630</v>
      </c>
      <c r="F912" s="250" t="s">
        <v>630</v>
      </c>
      <c r="G912" s="222">
        <v>0.15</v>
      </c>
      <c r="H912" s="222">
        <v>0.15</v>
      </c>
      <c r="I912" s="251" t="s">
        <v>631</v>
      </c>
      <c r="J912" s="252" t="s">
        <v>630</v>
      </c>
      <c r="K912" s="261" t="s">
        <v>781</v>
      </c>
      <c r="L912" s="144" t="s">
        <v>556</v>
      </c>
    </row>
    <row r="913" spans="1:12" x14ac:dyDescent="0.3">
      <c r="A913" s="144">
        <v>101</v>
      </c>
      <c r="B913" s="143" t="s">
        <v>801</v>
      </c>
      <c r="C913" s="143" t="s">
        <v>802</v>
      </c>
      <c r="D913" s="144" t="s">
        <v>793</v>
      </c>
      <c r="E913" s="250" t="s">
        <v>796</v>
      </c>
      <c r="F913" s="250" t="s">
        <v>796</v>
      </c>
      <c r="G913" s="222">
        <v>0.15</v>
      </c>
      <c r="H913" s="222">
        <v>0.15</v>
      </c>
      <c r="I913" s="251" t="s">
        <v>797</v>
      </c>
      <c r="J913" s="252" t="s">
        <v>798</v>
      </c>
      <c r="K913" s="261" t="s">
        <v>781</v>
      </c>
      <c r="L913" s="144" t="s">
        <v>556</v>
      </c>
    </row>
    <row r="914" spans="1:12" x14ac:dyDescent="0.3">
      <c r="A914" s="144">
        <v>102</v>
      </c>
      <c r="B914" s="143" t="s">
        <v>803</v>
      </c>
      <c r="C914" s="143" t="s">
        <v>804</v>
      </c>
      <c r="D914" s="144" t="s">
        <v>793</v>
      </c>
      <c r="E914" s="250" t="s">
        <v>794</v>
      </c>
      <c r="F914" s="250" t="s">
        <v>794</v>
      </c>
      <c r="G914" s="222">
        <v>0.3</v>
      </c>
      <c r="H914" s="222">
        <v>0.3</v>
      </c>
      <c r="I914" s="251">
        <v>0.9</v>
      </c>
      <c r="J914" s="252" t="s">
        <v>795</v>
      </c>
      <c r="K914" s="261" t="s">
        <v>781</v>
      </c>
      <c r="L914" s="144" t="s">
        <v>556</v>
      </c>
    </row>
    <row r="915" spans="1:12" x14ac:dyDescent="0.3">
      <c r="A915" s="144">
        <v>102</v>
      </c>
      <c r="B915" s="143" t="s">
        <v>803</v>
      </c>
      <c r="C915" s="143" t="s">
        <v>804</v>
      </c>
      <c r="D915" s="144" t="s">
        <v>793</v>
      </c>
      <c r="E915" s="250" t="s">
        <v>744</v>
      </c>
      <c r="F915" s="250" t="s">
        <v>744</v>
      </c>
      <c r="G915" s="222">
        <v>0.2</v>
      </c>
      <c r="H915" s="222">
        <v>0.2</v>
      </c>
      <c r="I915" s="251" t="s">
        <v>745</v>
      </c>
      <c r="J915" s="252" t="s">
        <v>746</v>
      </c>
      <c r="K915" s="261" t="s">
        <v>781</v>
      </c>
      <c r="L915" s="144" t="s">
        <v>556</v>
      </c>
    </row>
    <row r="916" spans="1:12" ht="72" x14ac:dyDescent="0.3">
      <c r="A916" s="144">
        <v>102</v>
      </c>
      <c r="B916" s="143" t="s">
        <v>803</v>
      </c>
      <c r="C916" s="143" t="s">
        <v>804</v>
      </c>
      <c r="D916" s="144" t="s">
        <v>793</v>
      </c>
      <c r="E916" s="250" t="s">
        <v>782</v>
      </c>
      <c r="F916" s="250" t="s">
        <v>782</v>
      </c>
      <c r="G916" s="222">
        <v>0.2</v>
      </c>
      <c r="H916" s="222">
        <v>0.2</v>
      </c>
      <c r="I916" s="251">
        <v>0.95</v>
      </c>
      <c r="J916" s="252" t="s">
        <v>783</v>
      </c>
      <c r="K916" s="261" t="s">
        <v>781</v>
      </c>
      <c r="L916" s="144" t="s">
        <v>556</v>
      </c>
    </row>
    <row r="917" spans="1:12" x14ac:dyDescent="0.3">
      <c r="A917" s="144">
        <v>102</v>
      </c>
      <c r="B917" s="143" t="s">
        <v>803</v>
      </c>
      <c r="C917" s="143" t="s">
        <v>804</v>
      </c>
      <c r="D917" s="144" t="s">
        <v>793</v>
      </c>
      <c r="E917" s="250" t="s">
        <v>630</v>
      </c>
      <c r="F917" s="250" t="s">
        <v>630</v>
      </c>
      <c r="G917" s="222">
        <v>0.15</v>
      </c>
      <c r="H917" s="222">
        <v>0.15</v>
      </c>
      <c r="I917" s="251" t="s">
        <v>631</v>
      </c>
      <c r="J917" s="252" t="s">
        <v>630</v>
      </c>
      <c r="K917" s="261" t="s">
        <v>781</v>
      </c>
      <c r="L917" s="144" t="s">
        <v>556</v>
      </c>
    </row>
    <row r="918" spans="1:12" x14ac:dyDescent="0.3">
      <c r="A918" s="144">
        <v>102</v>
      </c>
      <c r="B918" s="143" t="s">
        <v>803</v>
      </c>
      <c r="C918" s="143" t="s">
        <v>804</v>
      </c>
      <c r="D918" s="144" t="s">
        <v>793</v>
      </c>
      <c r="E918" s="250" t="s">
        <v>796</v>
      </c>
      <c r="F918" s="250" t="s">
        <v>796</v>
      </c>
      <c r="G918" s="222">
        <v>0.15</v>
      </c>
      <c r="H918" s="222">
        <v>0.15</v>
      </c>
      <c r="I918" s="251" t="s">
        <v>797</v>
      </c>
      <c r="J918" s="252" t="s">
        <v>798</v>
      </c>
      <c r="K918" s="261" t="s">
        <v>781</v>
      </c>
      <c r="L918" s="144" t="s">
        <v>556</v>
      </c>
    </row>
    <row r="919" spans="1:12" x14ac:dyDescent="0.3">
      <c r="A919" s="144">
        <v>103</v>
      </c>
      <c r="B919" s="143" t="s">
        <v>805</v>
      </c>
      <c r="C919" s="143" t="s">
        <v>806</v>
      </c>
      <c r="D919" s="144" t="s">
        <v>780</v>
      </c>
      <c r="E919" s="250" t="s">
        <v>740</v>
      </c>
      <c r="F919" s="250" t="s">
        <v>740</v>
      </c>
      <c r="G919" s="222">
        <v>0.3</v>
      </c>
      <c r="H919" s="222">
        <v>0.3</v>
      </c>
      <c r="I919" s="251">
        <v>0.9</v>
      </c>
      <c r="J919" s="252" t="s">
        <v>741</v>
      </c>
      <c r="K919" s="261" t="s">
        <v>781</v>
      </c>
      <c r="L919" s="144" t="s">
        <v>556</v>
      </c>
    </row>
    <row r="920" spans="1:12" ht="72" x14ac:dyDescent="0.3">
      <c r="A920" s="144">
        <v>103</v>
      </c>
      <c r="B920" s="143" t="s">
        <v>805</v>
      </c>
      <c r="C920" s="143" t="s">
        <v>806</v>
      </c>
      <c r="D920" s="144" t="s">
        <v>780</v>
      </c>
      <c r="E920" s="250" t="s">
        <v>782</v>
      </c>
      <c r="F920" s="250" t="s">
        <v>782</v>
      </c>
      <c r="G920" s="222">
        <v>0.2</v>
      </c>
      <c r="H920" s="222">
        <v>0.2</v>
      </c>
      <c r="I920" s="251">
        <v>0.95</v>
      </c>
      <c r="J920" s="252" t="s">
        <v>783</v>
      </c>
      <c r="K920" s="261" t="s">
        <v>781</v>
      </c>
      <c r="L920" s="144" t="s">
        <v>556</v>
      </c>
    </row>
    <row r="921" spans="1:12" x14ac:dyDescent="0.3">
      <c r="A921" s="144">
        <v>103</v>
      </c>
      <c r="B921" s="143" t="s">
        <v>805</v>
      </c>
      <c r="C921" s="143" t="s">
        <v>806</v>
      </c>
      <c r="D921" s="144" t="s">
        <v>780</v>
      </c>
      <c r="E921" s="250" t="s">
        <v>784</v>
      </c>
      <c r="F921" s="250" t="s">
        <v>784</v>
      </c>
      <c r="G921" s="222">
        <v>0.1</v>
      </c>
      <c r="H921" s="222">
        <v>0.1</v>
      </c>
      <c r="I921" s="251">
        <v>0.65</v>
      </c>
      <c r="J921" s="252" t="s">
        <v>784</v>
      </c>
      <c r="K921" s="261" t="s">
        <v>781</v>
      </c>
      <c r="L921" s="144" t="s">
        <v>556</v>
      </c>
    </row>
    <row r="922" spans="1:12" x14ac:dyDescent="0.3">
      <c r="A922" s="144">
        <v>103</v>
      </c>
      <c r="B922" s="143" t="s">
        <v>805</v>
      </c>
      <c r="C922" s="143" t="s">
        <v>806</v>
      </c>
      <c r="D922" s="144" t="s">
        <v>780</v>
      </c>
      <c r="E922" s="250" t="s">
        <v>785</v>
      </c>
      <c r="F922" s="250" t="s">
        <v>785</v>
      </c>
      <c r="G922" s="222">
        <v>0.1</v>
      </c>
      <c r="H922" s="222">
        <v>0.1</v>
      </c>
      <c r="I922" s="251" t="s">
        <v>786</v>
      </c>
      <c r="J922" s="252" t="s">
        <v>787</v>
      </c>
      <c r="K922" s="261" t="s">
        <v>781</v>
      </c>
      <c r="L922" s="144" t="s">
        <v>556</v>
      </c>
    </row>
    <row r="923" spans="1:12" x14ac:dyDescent="0.3">
      <c r="A923" s="144">
        <v>103</v>
      </c>
      <c r="B923" s="143" t="s">
        <v>805</v>
      </c>
      <c r="C923" s="143" t="s">
        <v>806</v>
      </c>
      <c r="D923" s="144" t="s">
        <v>780</v>
      </c>
      <c r="E923" s="250" t="s">
        <v>630</v>
      </c>
      <c r="F923" s="250" t="s">
        <v>630</v>
      </c>
      <c r="G923" s="222">
        <v>0.1</v>
      </c>
      <c r="H923" s="222">
        <v>0.1</v>
      </c>
      <c r="I923" s="251" t="s">
        <v>631</v>
      </c>
      <c r="J923" s="252" t="s">
        <v>630</v>
      </c>
      <c r="K923" s="261" t="s">
        <v>781</v>
      </c>
      <c r="L923" s="144" t="s">
        <v>556</v>
      </c>
    </row>
    <row r="924" spans="1:12" x14ac:dyDescent="0.3">
      <c r="A924" s="144">
        <v>103</v>
      </c>
      <c r="B924" s="143" t="s">
        <v>805</v>
      </c>
      <c r="C924" s="143" t="s">
        <v>806</v>
      </c>
      <c r="D924" s="144" t="s">
        <v>780</v>
      </c>
      <c r="E924" s="250" t="s">
        <v>747</v>
      </c>
      <c r="F924" s="250" t="s">
        <v>747</v>
      </c>
      <c r="G924" s="222">
        <v>0.1</v>
      </c>
      <c r="H924" s="222">
        <v>0.1</v>
      </c>
      <c r="I924" s="251">
        <v>0.01</v>
      </c>
      <c r="J924" s="252" t="s">
        <v>788</v>
      </c>
      <c r="K924" s="261" t="s">
        <v>781</v>
      </c>
      <c r="L924" s="144" t="s">
        <v>556</v>
      </c>
    </row>
    <row r="925" spans="1:12" x14ac:dyDescent="0.3">
      <c r="A925" s="144">
        <v>103</v>
      </c>
      <c r="B925" s="143" t="s">
        <v>805</v>
      </c>
      <c r="C925" s="143" t="s">
        <v>806</v>
      </c>
      <c r="D925" s="144" t="s">
        <v>780</v>
      </c>
      <c r="E925" s="250" t="s">
        <v>789</v>
      </c>
      <c r="F925" s="250" t="s">
        <v>789</v>
      </c>
      <c r="G925" s="222">
        <v>0.1</v>
      </c>
      <c r="H925" s="222">
        <v>0.1</v>
      </c>
      <c r="I925" s="251">
        <v>1</v>
      </c>
      <c r="J925" s="252" t="s">
        <v>790</v>
      </c>
      <c r="K925" s="261" t="s">
        <v>781</v>
      </c>
      <c r="L925" s="144" t="s">
        <v>556</v>
      </c>
    </row>
    <row r="926" spans="1:12" x14ac:dyDescent="0.3">
      <c r="A926" s="144">
        <v>104</v>
      </c>
      <c r="B926" s="143" t="s">
        <v>807</v>
      </c>
      <c r="C926" s="143" t="s">
        <v>808</v>
      </c>
      <c r="D926" s="144" t="s">
        <v>780</v>
      </c>
      <c r="E926" s="250" t="s">
        <v>740</v>
      </c>
      <c r="F926" s="250" t="s">
        <v>740</v>
      </c>
      <c r="G926" s="222">
        <v>0.3</v>
      </c>
      <c r="H926" s="222">
        <v>0.3</v>
      </c>
      <c r="I926" s="251">
        <v>0.9</v>
      </c>
      <c r="J926" s="252" t="s">
        <v>741</v>
      </c>
      <c r="K926" s="261" t="s">
        <v>781</v>
      </c>
      <c r="L926" s="144" t="s">
        <v>556</v>
      </c>
    </row>
    <row r="927" spans="1:12" ht="72" x14ac:dyDescent="0.3">
      <c r="A927" s="144">
        <v>104</v>
      </c>
      <c r="B927" s="143" t="s">
        <v>807</v>
      </c>
      <c r="C927" s="143" t="s">
        <v>808</v>
      </c>
      <c r="D927" s="144" t="s">
        <v>780</v>
      </c>
      <c r="E927" s="250" t="s">
        <v>782</v>
      </c>
      <c r="F927" s="250" t="s">
        <v>782</v>
      </c>
      <c r="G927" s="222">
        <v>0.2</v>
      </c>
      <c r="H927" s="222">
        <v>0.2</v>
      </c>
      <c r="I927" s="251">
        <v>0.95</v>
      </c>
      <c r="J927" s="252" t="s">
        <v>783</v>
      </c>
      <c r="K927" s="261" t="s">
        <v>781</v>
      </c>
      <c r="L927" s="144" t="s">
        <v>556</v>
      </c>
    </row>
    <row r="928" spans="1:12" x14ac:dyDescent="0.3">
      <c r="A928" s="144">
        <v>104</v>
      </c>
      <c r="B928" s="143" t="s">
        <v>807</v>
      </c>
      <c r="C928" s="143" t="s">
        <v>808</v>
      </c>
      <c r="D928" s="144" t="s">
        <v>780</v>
      </c>
      <c r="E928" s="250" t="s">
        <v>784</v>
      </c>
      <c r="F928" s="250" t="s">
        <v>784</v>
      </c>
      <c r="G928" s="222">
        <v>0.1</v>
      </c>
      <c r="H928" s="222">
        <v>0.1</v>
      </c>
      <c r="I928" s="251">
        <v>0.65</v>
      </c>
      <c r="J928" s="252" t="s">
        <v>784</v>
      </c>
      <c r="K928" s="261" t="s">
        <v>781</v>
      </c>
      <c r="L928" s="144" t="s">
        <v>556</v>
      </c>
    </row>
    <row r="929" spans="1:12" x14ac:dyDescent="0.3">
      <c r="A929" s="144">
        <v>104</v>
      </c>
      <c r="B929" s="143" t="s">
        <v>807</v>
      </c>
      <c r="C929" s="143" t="s">
        <v>808</v>
      </c>
      <c r="D929" s="144" t="s">
        <v>780</v>
      </c>
      <c r="E929" s="250" t="s">
        <v>785</v>
      </c>
      <c r="F929" s="250" t="s">
        <v>785</v>
      </c>
      <c r="G929" s="222">
        <v>0.1</v>
      </c>
      <c r="H929" s="222">
        <v>0.1</v>
      </c>
      <c r="I929" s="251" t="s">
        <v>786</v>
      </c>
      <c r="J929" s="252" t="s">
        <v>787</v>
      </c>
      <c r="K929" s="261" t="s">
        <v>781</v>
      </c>
      <c r="L929" s="144" t="s">
        <v>556</v>
      </c>
    </row>
    <row r="930" spans="1:12" x14ac:dyDescent="0.3">
      <c r="A930" s="144">
        <v>104</v>
      </c>
      <c r="B930" s="143" t="s">
        <v>807</v>
      </c>
      <c r="C930" s="143" t="s">
        <v>808</v>
      </c>
      <c r="D930" s="144" t="s">
        <v>780</v>
      </c>
      <c r="E930" s="250" t="s">
        <v>630</v>
      </c>
      <c r="F930" s="250" t="s">
        <v>630</v>
      </c>
      <c r="G930" s="222">
        <v>0.1</v>
      </c>
      <c r="H930" s="222">
        <v>0.1</v>
      </c>
      <c r="I930" s="251" t="s">
        <v>631</v>
      </c>
      <c r="J930" s="252" t="s">
        <v>630</v>
      </c>
      <c r="K930" s="261" t="s">
        <v>781</v>
      </c>
      <c r="L930" s="144" t="s">
        <v>556</v>
      </c>
    </row>
    <row r="931" spans="1:12" x14ac:dyDescent="0.3">
      <c r="A931" s="144">
        <v>104</v>
      </c>
      <c r="B931" s="143" t="s">
        <v>807</v>
      </c>
      <c r="C931" s="143" t="s">
        <v>808</v>
      </c>
      <c r="D931" s="144" t="s">
        <v>780</v>
      </c>
      <c r="E931" s="250" t="s">
        <v>747</v>
      </c>
      <c r="F931" s="250" t="s">
        <v>747</v>
      </c>
      <c r="G931" s="222">
        <v>0.1</v>
      </c>
      <c r="H931" s="222">
        <v>0.1</v>
      </c>
      <c r="I931" s="251">
        <v>0.01</v>
      </c>
      <c r="J931" s="252" t="s">
        <v>788</v>
      </c>
      <c r="K931" s="261" t="s">
        <v>781</v>
      </c>
      <c r="L931" s="144" t="s">
        <v>556</v>
      </c>
    </row>
    <row r="932" spans="1:12" x14ac:dyDescent="0.3">
      <c r="A932" s="144">
        <v>104</v>
      </c>
      <c r="B932" s="143" t="s">
        <v>807</v>
      </c>
      <c r="C932" s="143" t="s">
        <v>808</v>
      </c>
      <c r="D932" s="144" t="s">
        <v>780</v>
      </c>
      <c r="E932" s="250" t="s">
        <v>789</v>
      </c>
      <c r="F932" s="250" t="s">
        <v>789</v>
      </c>
      <c r="G932" s="222">
        <v>0.1</v>
      </c>
      <c r="H932" s="222">
        <v>0.1</v>
      </c>
      <c r="I932" s="251">
        <v>1</v>
      </c>
      <c r="J932" s="252" t="s">
        <v>790</v>
      </c>
      <c r="K932" s="261" t="s">
        <v>781</v>
      </c>
      <c r="L932" s="144" t="s">
        <v>556</v>
      </c>
    </row>
    <row r="933" spans="1:12" x14ac:dyDescent="0.3">
      <c r="A933" s="144">
        <v>105</v>
      </c>
      <c r="B933" s="143" t="s">
        <v>809</v>
      </c>
      <c r="C933" s="143" t="s">
        <v>810</v>
      </c>
      <c r="D933" s="144" t="s">
        <v>780</v>
      </c>
      <c r="E933" s="250" t="s">
        <v>740</v>
      </c>
      <c r="F933" s="250" t="s">
        <v>740</v>
      </c>
      <c r="G933" s="222">
        <v>0.3</v>
      </c>
      <c r="H933" s="222">
        <v>0.3</v>
      </c>
      <c r="I933" s="251">
        <v>0.9</v>
      </c>
      <c r="J933" s="252" t="s">
        <v>741</v>
      </c>
      <c r="K933" s="261" t="s">
        <v>781</v>
      </c>
      <c r="L933" s="144" t="s">
        <v>556</v>
      </c>
    </row>
    <row r="934" spans="1:12" ht="72" x14ac:dyDescent="0.3">
      <c r="A934" s="144">
        <v>105</v>
      </c>
      <c r="B934" s="143" t="s">
        <v>809</v>
      </c>
      <c r="C934" s="143" t="s">
        <v>810</v>
      </c>
      <c r="D934" s="144" t="s">
        <v>780</v>
      </c>
      <c r="E934" s="250" t="s">
        <v>782</v>
      </c>
      <c r="F934" s="250" t="s">
        <v>782</v>
      </c>
      <c r="G934" s="222">
        <v>0.2</v>
      </c>
      <c r="H934" s="222">
        <v>0.2</v>
      </c>
      <c r="I934" s="251">
        <v>0.95</v>
      </c>
      <c r="J934" s="252" t="s">
        <v>783</v>
      </c>
      <c r="K934" s="261" t="s">
        <v>781</v>
      </c>
      <c r="L934" s="144" t="s">
        <v>556</v>
      </c>
    </row>
    <row r="935" spans="1:12" x14ac:dyDescent="0.3">
      <c r="A935" s="144">
        <v>105</v>
      </c>
      <c r="B935" s="143" t="s">
        <v>809</v>
      </c>
      <c r="C935" s="143" t="s">
        <v>810</v>
      </c>
      <c r="D935" s="144" t="s">
        <v>780</v>
      </c>
      <c r="E935" s="250" t="s">
        <v>784</v>
      </c>
      <c r="F935" s="250" t="s">
        <v>784</v>
      </c>
      <c r="G935" s="222">
        <v>0.1</v>
      </c>
      <c r="H935" s="222">
        <v>0.1</v>
      </c>
      <c r="I935" s="251">
        <v>0.65</v>
      </c>
      <c r="J935" s="252" t="s">
        <v>784</v>
      </c>
      <c r="K935" s="261" t="s">
        <v>781</v>
      </c>
      <c r="L935" s="144" t="s">
        <v>556</v>
      </c>
    </row>
    <row r="936" spans="1:12" x14ac:dyDescent="0.3">
      <c r="A936" s="144">
        <v>105</v>
      </c>
      <c r="B936" s="143" t="s">
        <v>809</v>
      </c>
      <c r="C936" s="143" t="s">
        <v>810</v>
      </c>
      <c r="D936" s="144" t="s">
        <v>780</v>
      </c>
      <c r="E936" s="250" t="s">
        <v>785</v>
      </c>
      <c r="F936" s="250" t="s">
        <v>785</v>
      </c>
      <c r="G936" s="222">
        <v>0.1</v>
      </c>
      <c r="H936" s="222">
        <v>0.1</v>
      </c>
      <c r="I936" s="251" t="s">
        <v>786</v>
      </c>
      <c r="J936" s="252" t="s">
        <v>787</v>
      </c>
      <c r="K936" s="261" t="s">
        <v>781</v>
      </c>
      <c r="L936" s="144" t="s">
        <v>556</v>
      </c>
    </row>
    <row r="937" spans="1:12" x14ac:dyDescent="0.3">
      <c r="A937" s="144">
        <v>105</v>
      </c>
      <c r="B937" s="143" t="s">
        <v>809</v>
      </c>
      <c r="C937" s="143" t="s">
        <v>810</v>
      </c>
      <c r="D937" s="144" t="s">
        <v>780</v>
      </c>
      <c r="E937" s="250" t="s">
        <v>630</v>
      </c>
      <c r="F937" s="250" t="s">
        <v>630</v>
      </c>
      <c r="G937" s="222">
        <v>0.1</v>
      </c>
      <c r="H937" s="222">
        <v>0.1</v>
      </c>
      <c r="I937" s="251" t="s">
        <v>631</v>
      </c>
      <c r="J937" s="252" t="s">
        <v>630</v>
      </c>
      <c r="K937" s="261" t="s">
        <v>781</v>
      </c>
      <c r="L937" s="144" t="s">
        <v>556</v>
      </c>
    </row>
    <row r="938" spans="1:12" x14ac:dyDescent="0.3">
      <c r="A938" s="144">
        <v>105</v>
      </c>
      <c r="B938" s="143" t="s">
        <v>809</v>
      </c>
      <c r="C938" s="143" t="s">
        <v>810</v>
      </c>
      <c r="D938" s="144" t="s">
        <v>780</v>
      </c>
      <c r="E938" s="250" t="s">
        <v>747</v>
      </c>
      <c r="F938" s="250" t="s">
        <v>747</v>
      </c>
      <c r="G938" s="222">
        <v>0.1</v>
      </c>
      <c r="H938" s="222">
        <v>0.1</v>
      </c>
      <c r="I938" s="251">
        <v>0.01</v>
      </c>
      <c r="J938" s="252" t="s">
        <v>788</v>
      </c>
      <c r="K938" s="261" t="s">
        <v>781</v>
      </c>
      <c r="L938" s="144" t="s">
        <v>556</v>
      </c>
    </row>
    <row r="939" spans="1:12" x14ac:dyDescent="0.3">
      <c r="A939" s="144">
        <v>105</v>
      </c>
      <c r="B939" s="143" t="s">
        <v>809</v>
      </c>
      <c r="C939" s="143" t="s">
        <v>810</v>
      </c>
      <c r="D939" s="144" t="s">
        <v>780</v>
      </c>
      <c r="E939" s="250" t="s">
        <v>789</v>
      </c>
      <c r="F939" s="250" t="s">
        <v>789</v>
      </c>
      <c r="G939" s="222">
        <v>0.1</v>
      </c>
      <c r="H939" s="222">
        <v>0.1</v>
      </c>
      <c r="I939" s="251">
        <v>1</v>
      </c>
      <c r="J939" s="252" t="s">
        <v>790</v>
      </c>
      <c r="K939" s="261" t="s">
        <v>781</v>
      </c>
      <c r="L939" s="144" t="s">
        <v>556</v>
      </c>
    </row>
    <row r="940" spans="1:12" x14ac:dyDescent="0.3">
      <c r="A940" s="144">
        <v>106</v>
      </c>
      <c r="B940" s="143" t="s">
        <v>811</v>
      </c>
      <c r="C940" s="143" t="s">
        <v>812</v>
      </c>
      <c r="D940" s="144" t="s">
        <v>813</v>
      </c>
      <c r="E940" s="250" t="s">
        <v>742</v>
      </c>
      <c r="F940" s="250" t="s">
        <v>742</v>
      </c>
      <c r="G940" s="222">
        <v>0.3</v>
      </c>
      <c r="H940" s="222">
        <v>0.3</v>
      </c>
      <c r="I940" s="251">
        <v>0.9</v>
      </c>
      <c r="J940" s="252" t="s">
        <v>814</v>
      </c>
      <c r="K940" s="261" t="s">
        <v>781</v>
      </c>
      <c r="L940" s="144" t="s">
        <v>556</v>
      </c>
    </row>
    <row r="941" spans="1:12" ht="28.8" x14ac:dyDescent="0.3">
      <c r="A941" s="144">
        <v>106</v>
      </c>
      <c r="B941" s="143" t="s">
        <v>811</v>
      </c>
      <c r="C941" s="143" t="s">
        <v>812</v>
      </c>
      <c r="D941" s="144" t="s">
        <v>813</v>
      </c>
      <c r="E941" s="250" t="s">
        <v>753</v>
      </c>
      <c r="F941" s="250" t="s">
        <v>753</v>
      </c>
      <c r="G941" s="222">
        <v>0.2</v>
      </c>
      <c r="H941" s="222">
        <v>0.2</v>
      </c>
      <c r="I941" s="251">
        <v>0.8</v>
      </c>
      <c r="J941" s="256" t="s">
        <v>758</v>
      </c>
      <c r="K941" s="261" t="s">
        <v>781</v>
      </c>
      <c r="L941" s="144" t="s">
        <v>556</v>
      </c>
    </row>
    <row r="942" spans="1:12" x14ac:dyDescent="0.3">
      <c r="A942" s="144">
        <v>106</v>
      </c>
      <c r="B942" s="143" t="s">
        <v>811</v>
      </c>
      <c r="C942" s="143" t="s">
        <v>812</v>
      </c>
      <c r="D942" s="144" t="s">
        <v>813</v>
      </c>
      <c r="E942" s="250" t="s">
        <v>815</v>
      </c>
      <c r="F942" s="250" t="s">
        <v>815</v>
      </c>
      <c r="G942" s="222">
        <v>0.15</v>
      </c>
      <c r="H942" s="222">
        <v>0.15</v>
      </c>
      <c r="I942" s="251">
        <v>0.98</v>
      </c>
      <c r="J942" s="252" t="s">
        <v>816</v>
      </c>
      <c r="K942" s="261" t="s">
        <v>781</v>
      </c>
      <c r="L942" s="144" t="s">
        <v>556</v>
      </c>
    </row>
    <row r="943" spans="1:12" x14ac:dyDescent="0.3">
      <c r="A943" s="144">
        <v>106</v>
      </c>
      <c r="B943" s="143" t="s">
        <v>811</v>
      </c>
      <c r="C943" s="143" t="s">
        <v>812</v>
      </c>
      <c r="D943" s="144" t="s">
        <v>813</v>
      </c>
      <c r="E943" s="250" t="s">
        <v>817</v>
      </c>
      <c r="F943" s="250" t="s">
        <v>817</v>
      </c>
      <c r="G943" s="222">
        <v>0.15</v>
      </c>
      <c r="H943" s="222">
        <v>0.15</v>
      </c>
      <c r="I943" s="251">
        <v>1</v>
      </c>
      <c r="J943" s="252" t="s">
        <v>818</v>
      </c>
      <c r="K943" s="261" t="s">
        <v>781</v>
      </c>
      <c r="L943" s="144" t="s">
        <v>556</v>
      </c>
    </row>
    <row r="944" spans="1:12" ht="72" x14ac:dyDescent="0.3">
      <c r="A944" s="144">
        <v>106</v>
      </c>
      <c r="B944" s="143" t="s">
        <v>811</v>
      </c>
      <c r="C944" s="143" t="s">
        <v>812</v>
      </c>
      <c r="D944" s="144" t="s">
        <v>813</v>
      </c>
      <c r="E944" s="250" t="s">
        <v>782</v>
      </c>
      <c r="F944" s="250" t="s">
        <v>782</v>
      </c>
      <c r="G944" s="222">
        <v>0.1</v>
      </c>
      <c r="H944" s="222">
        <v>0.1</v>
      </c>
      <c r="I944" s="251">
        <v>0.95</v>
      </c>
      <c r="J944" s="252" t="s">
        <v>783</v>
      </c>
      <c r="K944" s="261" t="s">
        <v>781</v>
      </c>
      <c r="L944" s="144" t="s">
        <v>556</v>
      </c>
    </row>
    <row r="945" spans="1:12" x14ac:dyDescent="0.3">
      <c r="A945" s="144">
        <v>106</v>
      </c>
      <c r="B945" s="143" t="s">
        <v>811</v>
      </c>
      <c r="C945" s="143" t="s">
        <v>812</v>
      </c>
      <c r="D945" s="144" t="s">
        <v>813</v>
      </c>
      <c r="E945" s="250" t="s">
        <v>819</v>
      </c>
      <c r="F945" s="250" t="s">
        <v>819</v>
      </c>
      <c r="G945" s="222">
        <v>0.1</v>
      </c>
      <c r="H945" s="222">
        <v>0.1</v>
      </c>
      <c r="I945" s="251">
        <v>0.95</v>
      </c>
      <c r="J945" s="256" t="s">
        <v>820</v>
      </c>
      <c r="K945" s="261" t="s">
        <v>781</v>
      </c>
      <c r="L945" s="144" t="s">
        <v>556</v>
      </c>
    </row>
    <row r="946" spans="1:12" x14ac:dyDescent="0.3">
      <c r="A946" s="144">
        <v>107</v>
      </c>
      <c r="B946" s="143" t="s">
        <v>821</v>
      </c>
      <c r="C946" s="143" t="s">
        <v>822</v>
      </c>
      <c r="D946" s="144" t="s">
        <v>813</v>
      </c>
      <c r="E946" s="250" t="s">
        <v>742</v>
      </c>
      <c r="F946" s="250" t="s">
        <v>742</v>
      </c>
      <c r="G946" s="222">
        <v>0.3</v>
      </c>
      <c r="H946" s="222">
        <v>0.3</v>
      </c>
      <c r="I946" s="251">
        <v>0.9</v>
      </c>
      <c r="J946" s="252" t="s">
        <v>814</v>
      </c>
      <c r="K946" s="261" t="s">
        <v>781</v>
      </c>
      <c r="L946" s="144" t="s">
        <v>556</v>
      </c>
    </row>
    <row r="947" spans="1:12" ht="28.8" x14ac:dyDescent="0.3">
      <c r="A947" s="144">
        <v>107</v>
      </c>
      <c r="B947" s="143" t="s">
        <v>821</v>
      </c>
      <c r="C947" s="143" t="s">
        <v>822</v>
      </c>
      <c r="D947" s="144" t="s">
        <v>813</v>
      </c>
      <c r="E947" s="250" t="s">
        <v>753</v>
      </c>
      <c r="F947" s="250" t="s">
        <v>753</v>
      </c>
      <c r="G947" s="222">
        <v>0.2</v>
      </c>
      <c r="H947" s="222">
        <v>0.2</v>
      </c>
      <c r="I947" s="251">
        <v>0.8</v>
      </c>
      <c r="J947" s="256" t="s">
        <v>758</v>
      </c>
      <c r="K947" s="261" t="s">
        <v>781</v>
      </c>
      <c r="L947" s="144" t="s">
        <v>556</v>
      </c>
    </row>
    <row r="948" spans="1:12" x14ac:dyDescent="0.3">
      <c r="A948" s="144">
        <v>107</v>
      </c>
      <c r="B948" s="143" t="s">
        <v>821</v>
      </c>
      <c r="C948" s="143" t="s">
        <v>822</v>
      </c>
      <c r="D948" s="144" t="s">
        <v>813</v>
      </c>
      <c r="E948" s="250" t="s">
        <v>815</v>
      </c>
      <c r="F948" s="250" t="s">
        <v>815</v>
      </c>
      <c r="G948" s="222">
        <v>0.15</v>
      </c>
      <c r="H948" s="222">
        <v>0.15</v>
      </c>
      <c r="I948" s="251">
        <v>0.98</v>
      </c>
      <c r="J948" s="252" t="s">
        <v>816</v>
      </c>
      <c r="K948" s="261" t="s">
        <v>781</v>
      </c>
      <c r="L948" s="144" t="s">
        <v>556</v>
      </c>
    </row>
    <row r="949" spans="1:12" x14ac:dyDescent="0.3">
      <c r="A949" s="144">
        <v>107</v>
      </c>
      <c r="B949" s="143" t="s">
        <v>821</v>
      </c>
      <c r="C949" s="143" t="s">
        <v>822</v>
      </c>
      <c r="D949" s="144" t="s">
        <v>813</v>
      </c>
      <c r="E949" s="250" t="s">
        <v>817</v>
      </c>
      <c r="F949" s="250" t="s">
        <v>817</v>
      </c>
      <c r="G949" s="222">
        <v>0.15</v>
      </c>
      <c r="H949" s="222">
        <v>0.15</v>
      </c>
      <c r="I949" s="251">
        <v>1</v>
      </c>
      <c r="J949" s="252" t="s">
        <v>818</v>
      </c>
      <c r="K949" s="261" t="s">
        <v>781</v>
      </c>
      <c r="L949" s="144" t="s">
        <v>556</v>
      </c>
    </row>
    <row r="950" spans="1:12" ht="72" x14ac:dyDescent="0.3">
      <c r="A950" s="144">
        <v>107</v>
      </c>
      <c r="B950" s="143" t="s">
        <v>821</v>
      </c>
      <c r="C950" s="143" t="s">
        <v>822</v>
      </c>
      <c r="D950" s="144" t="s">
        <v>813</v>
      </c>
      <c r="E950" s="250" t="s">
        <v>782</v>
      </c>
      <c r="F950" s="250" t="s">
        <v>782</v>
      </c>
      <c r="G950" s="222">
        <v>0.1</v>
      </c>
      <c r="H950" s="222">
        <v>0.1</v>
      </c>
      <c r="I950" s="251">
        <v>0.95</v>
      </c>
      <c r="J950" s="252" t="s">
        <v>783</v>
      </c>
      <c r="K950" s="261" t="s">
        <v>781</v>
      </c>
      <c r="L950" s="144" t="s">
        <v>556</v>
      </c>
    </row>
    <row r="951" spans="1:12" x14ac:dyDescent="0.3">
      <c r="A951" s="144">
        <v>107</v>
      </c>
      <c r="B951" s="143" t="s">
        <v>821</v>
      </c>
      <c r="C951" s="143" t="s">
        <v>822</v>
      </c>
      <c r="D951" s="144" t="s">
        <v>813</v>
      </c>
      <c r="E951" s="250" t="s">
        <v>819</v>
      </c>
      <c r="F951" s="250" t="s">
        <v>819</v>
      </c>
      <c r="G951" s="222">
        <v>0.1</v>
      </c>
      <c r="H951" s="222">
        <v>0.1</v>
      </c>
      <c r="I951" s="251">
        <v>0.95</v>
      </c>
      <c r="J951" s="256" t="s">
        <v>820</v>
      </c>
      <c r="K951" s="261" t="s">
        <v>781</v>
      </c>
      <c r="L951" s="144" t="s">
        <v>556</v>
      </c>
    </row>
    <row r="952" spans="1:12" x14ac:dyDescent="0.3">
      <c r="A952" s="144">
        <v>108</v>
      </c>
      <c r="B952" s="143" t="s">
        <v>823</v>
      </c>
      <c r="C952" s="143" t="s">
        <v>824</v>
      </c>
      <c r="D952" s="144" t="s">
        <v>813</v>
      </c>
      <c r="E952" s="250" t="s">
        <v>742</v>
      </c>
      <c r="F952" s="250" t="s">
        <v>742</v>
      </c>
      <c r="G952" s="222">
        <v>0.3</v>
      </c>
      <c r="H952" s="222">
        <v>0.3</v>
      </c>
      <c r="I952" s="251">
        <v>0.9</v>
      </c>
      <c r="J952" s="252" t="s">
        <v>814</v>
      </c>
      <c r="K952" s="261" t="s">
        <v>781</v>
      </c>
      <c r="L952" s="144" t="s">
        <v>556</v>
      </c>
    </row>
    <row r="953" spans="1:12" ht="28.8" x14ac:dyDescent="0.3">
      <c r="A953" s="144">
        <v>108</v>
      </c>
      <c r="B953" s="143" t="s">
        <v>823</v>
      </c>
      <c r="C953" s="143" t="s">
        <v>824</v>
      </c>
      <c r="D953" s="144" t="s">
        <v>813</v>
      </c>
      <c r="E953" s="250" t="s">
        <v>753</v>
      </c>
      <c r="F953" s="250" t="s">
        <v>753</v>
      </c>
      <c r="G953" s="222">
        <v>0.2</v>
      </c>
      <c r="H953" s="222">
        <v>0.2</v>
      </c>
      <c r="I953" s="251">
        <v>0.8</v>
      </c>
      <c r="J953" s="256" t="s">
        <v>758</v>
      </c>
      <c r="K953" s="261" t="s">
        <v>781</v>
      </c>
      <c r="L953" s="144" t="s">
        <v>556</v>
      </c>
    </row>
    <row r="954" spans="1:12" x14ac:dyDescent="0.3">
      <c r="A954" s="144">
        <v>108</v>
      </c>
      <c r="B954" s="143" t="s">
        <v>823</v>
      </c>
      <c r="C954" s="143" t="s">
        <v>824</v>
      </c>
      <c r="D954" s="144" t="s">
        <v>813</v>
      </c>
      <c r="E954" s="250" t="s">
        <v>815</v>
      </c>
      <c r="F954" s="250" t="s">
        <v>815</v>
      </c>
      <c r="G954" s="222">
        <v>0.15</v>
      </c>
      <c r="H954" s="222">
        <v>0.15</v>
      </c>
      <c r="I954" s="251">
        <v>0.98</v>
      </c>
      <c r="J954" s="252" t="s">
        <v>816</v>
      </c>
      <c r="K954" s="261" t="s">
        <v>781</v>
      </c>
      <c r="L954" s="144" t="s">
        <v>556</v>
      </c>
    </row>
    <row r="955" spans="1:12" x14ac:dyDescent="0.3">
      <c r="A955" s="144">
        <v>108</v>
      </c>
      <c r="B955" s="143" t="s">
        <v>823</v>
      </c>
      <c r="C955" s="143" t="s">
        <v>824</v>
      </c>
      <c r="D955" s="144" t="s">
        <v>813</v>
      </c>
      <c r="E955" s="250" t="s">
        <v>817</v>
      </c>
      <c r="F955" s="250" t="s">
        <v>817</v>
      </c>
      <c r="G955" s="222">
        <v>0.15</v>
      </c>
      <c r="H955" s="222">
        <v>0.15</v>
      </c>
      <c r="I955" s="251">
        <v>1</v>
      </c>
      <c r="J955" s="252" t="s">
        <v>818</v>
      </c>
      <c r="K955" s="261" t="s">
        <v>781</v>
      </c>
      <c r="L955" s="144" t="s">
        <v>556</v>
      </c>
    </row>
    <row r="956" spans="1:12" ht="72" x14ac:dyDescent="0.3">
      <c r="A956" s="144">
        <v>108</v>
      </c>
      <c r="B956" s="143" t="s">
        <v>823</v>
      </c>
      <c r="C956" s="143" t="s">
        <v>824</v>
      </c>
      <c r="D956" s="144" t="s">
        <v>813</v>
      </c>
      <c r="E956" s="250" t="s">
        <v>782</v>
      </c>
      <c r="F956" s="250" t="s">
        <v>782</v>
      </c>
      <c r="G956" s="222">
        <v>0.1</v>
      </c>
      <c r="H956" s="222">
        <v>0.1</v>
      </c>
      <c r="I956" s="251">
        <v>0.95</v>
      </c>
      <c r="J956" s="252" t="s">
        <v>783</v>
      </c>
      <c r="K956" s="261" t="s">
        <v>781</v>
      </c>
      <c r="L956" s="144" t="s">
        <v>556</v>
      </c>
    </row>
    <row r="957" spans="1:12" x14ac:dyDescent="0.3">
      <c r="A957" s="144">
        <v>108</v>
      </c>
      <c r="B957" s="143" t="s">
        <v>823</v>
      </c>
      <c r="C957" s="143" t="s">
        <v>824</v>
      </c>
      <c r="D957" s="144" t="s">
        <v>813</v>
      </c>
      <c r="E957" s="250" t="s">
        <v>819</v>
      </c>
      <c r="F957" s="250" t="s">
        <v>819</v>
      </c>
      <c r="G957" s="222">
        <v>0.1</v>
      </c>
      <c r="H957" s="222">
        <v>0.1</v>
      </c>
      <c r="I957" s="251">
        <v>0.95</v>
      </c>
      <c r="J957" s="256" t="s">
        <v>820</v>
      </c>
      <c r="K957" s="261" t="s">
        <v>781</v>
      </c>
      <c r="L957" s="144" t="s">
        <v>556</v>
      </c>
    </row>
    <row r="958" spans="1:12" x14ac:dyDescent="0.3">
      <c r="A958" s="144">
        <v>109</v>
      </c>
      <c r="B958" s="143" t="s">
        <v>825</v>
      </c>
      <c r="C958" s="143" t="s">
        <v>826</v>
      </c>
      <c r="D958" s="144" t="s">
        <v>813</v>
      </c>
      <c r="E958" s="250" t="s">
        <v>742</v>
      </c>
      <c r="F958" s="250" t="s">
        <v>742</v>
      </c>
      <c r="G958" s="222">
        <v>0.3</v>
      </c>
      <c r="H958" s="222">
        <v>0.3</v>
      </c>
      <c r="I958" s="251">
        <v>0.9</v>
      </c>
      <c r="J958" s="252" t="s">
        <v>814</v>
      </c>
      <c r="K958" s="261" t="s">
        <v>781</v>
      </c>
      <c r="L958" s="144" t="s">
        <v>556</v>
      </c>
    </row>
    <row r="959" spans="1:12" ht="28.8" x14ac:dyDescent="0.3">
      <c r="A959" s="144">
        <v>109</v>
      </c>
      <c r="B959" s="143" t="s">
        <v>825</v>
      </c>
      <c r="C959" s="143" t="s">
        <v>826</v>
      </c>
      <c r="D959" s="144" t="s">
        <v>813</v>
      </c>
      <c r="E959" s="250" t="s">
        <v>753</v>
      </c>
      <c r="F959" s="250" t="s">
        <v>753</v>
      </c>
      <c r="G959" s="222">
        <v>0.2</v>
      </c>
      <c r="H959" s="222">
        <v>0.2</v>
      </c>
      <c r="I959" s="251">
        <v>0.8</v>
      </c>
      <c r="J959" s="256" t="s">
        <v>758</v>
      </c>
      <c r="K959" s="261" t="s">
        <v>781</v>
      </c>
      <c r="L959" s="144" t="s">
        <v>556</v>
      </c>
    </row>
    <row r="960" spans="1:12" x14ac:dyDescent="0.3">
      <c r="A960" s="144">
        <v>109</v>
      </c>
      <c r="B960" s="143" t="s">
        <v>825</v>
      </c>
      <c r="C960" s="143" t="s">
        <v>826</v>
      </c>
      <c r="D960" s="144" t="s">
        <v>813</v>
      </c>
      <c r="E960" s="250" t="s">
        <v>815</v>
      </c>
      <c r="F960" s="250" t="s">
        <v>815</v>
      </c>
      <c r="G960" s="222">
        <v>0.15</v>
      </c>
      <c r="H960" s="222">
        <v>0.15</v>
      </c>
      <c r="I960" s="251">
        <v>0.98</v>
      </c>
      <c r="J960" s="252" t="s">
        <v>816</v>
      </c>
      <c r="K960" s="261" t="s">
        <v>781</v>
      </c>
      <c r="L960" s="144" t="s">
        <v>556</v>
      </c>
    </row>
    <row r="961" spans="1:12" x14ac:dyDescent="0.3">
      <c r="A961" s="144">
        <v>109</v>
      </c>
      <c r="B961" s="143" t="s">
        <v>825</v>
      </c>
      <c r="C961" s="143" t="s">
        <v>826</v>
      </c>
      <c r="D961" s="144" t="s">
        <v>813</v>
      </c>
      <c r="E961" s="250" t="s">
        <v>817</v>
      </c>
      <c r="F961" s="250" t="s">
        <v>817</v>
      </c>
      <c r="G961" s="222">
        <v>0.15</v>
      </c>
      <c r="H961" s="222">
        <v>0.15</v>
      </c>
      <c r="I961" s="251">
        <v>1</v>
      </c>
      <c r="J961" s="252" t="s">
        <v>818</v>
      </c>
      <c r="K961" s="261" t="s">
        <v>781</v>
      </c>
      <c r="L961" s="144" t="s">
        <v>556</v>
      </c>
    </row>
    <row r="962" spans="1:12" ht="72" x14ac:dyDescent="0.3">
      <c r="A962" s="144">
        <v>109</v>
      </c>
      <c r="B962" s="143" t="s">
        <v>825</v>
      </c>
      <c r="C962" s="143" t="s">
        <v>826</v>
      </c>
      <c r="D962" s="144" t="s">
        <v>813</v>
      </c>
      <c r="E962" s="250" t="s">
        <v>782</v>
      </c>
      <c r="F962" s="250" t="s">
        <v>782</v>
      </c>
      <c r="G962" s="222">
        <v>0.1</v>
      </c>
      <c r="H962" s="222">
        <v>0.1</v>
      </c>
      <c r="I962" s="251">
        <v>0.95</v>
      </c>
      <c r="J962" s="252" t="s">
        <v>783</v>
      </c>
      <c r="K962" s="261" t="s">
        <v>781</v>
      </c>
      <c r="L962" s="144" t="s">
        <v>556</v>
      </c>
    </row>
    <row r="963" spans="1:12" x14ac:dyDescent="0.3">
      <c r="A963" s="144">
        <v>109</v>
      </c>
      <c r="B963" s="143" t="s">
        <v>825</v>
      </c>
      <c r="C963" s="143" t="s">
        <v>826</v>
      </c>
      <c r="D963" s="144" t="s">
        <v>813</v>
      </c>
      <c r="E963" s="250" t="s">
        <v>819</v>
      </c>
      <c r="F963" s="250" t="s">
        <v>819</v>
      </c>
      <c r="G963" s="222">
        <v>0.1</v>
      </c>
      <c r="H963" s="222">
        <v>0.1</v>
      </c>
      <c r="I963" s="251">
        <v>0.95</v>
      </c>
      <c r="J963" s="256" t="s">
        <v>820</v>
      </c>
      <c r="K963" s="261" t="s">
        <v>781</v>
      </c>
      <c r="L963" s="144" t="s">
        <v>556</v>
      </c>
    </row>
    <row r="964" spans="1:12" x14ac:dyDescent="0.3">
      <c r="A964" s="144">
        <v>110</v>
      </c>
      <c r="B964" s="143" t="s">
        <v>827</v>
      </c>
      <c r="C964" s="143" t="s">
        <v>828</v>
      </c>
      <c r="D964" s="144" t="s">
        <v>829</v>
      </c>
      <c r="E964" s="250" t="s">
        <v>739</v>
      </c>
      <c r="F964" s="250" t="s">
        <v>739</v>
      </c>
      <c r="G964" s="222">
        <v>0.3</v>
      </c>
      <c r="H964" s="222">
        <v>0.3</v>
      </c>
      <c r="I964" s="251">
        <v>0.7</v>
      </c>
      <c r="J964" s="252" t="s">
        <v>736</v>
      </c>
      <c r="K964" s="261" t="s">
        <v>781</v>
      </c>
      <c r="L964" s="144" t="s">
        <v>556</v>
      </c>
    </row>
    <row r="965" spans="1:12" ht="72" x14ac:dyDescent="0.3">
      <c r="A965" s="144">
        <v>110</v>
      </c>
      <c r="B965" s="143" t="s">
        <v>827</v>
      </c>
      <c r="C965" s="143" t="s">
        <v>828</v>
      </c>
      <c r="D965" s="144" t="s">
        <v>829</v>
      </c>
      <c r="E965" s="250" t="s">
        <v>782</v>
      </c>
      <c r="F965" s="250" t="s">
        <v>782</v>
      </c>
      <c r="G965" s="222">
        <v>0.2</v>
      </c>
      <c r="H965" s="222">
        <v>0.2</v>
      </c>
      <c r="I965" s="251">
        <v>0.95</v>
      </c>
      <c r="J965" s="252" t="s">
        <v>783</v>
      </c>
      <c r="K965" s="261" t="s">
        <v>781</v>
      </c>
      <c r="L965" s="144" t="s">
        <v>556</v>
      </c>
    </row>
    <row r="966" spans="1:12" x14ac:dyDescent="0.3">
      <c r="A966" s="144">
        <v>110</v>
      </c>
      <c r="B966" s="143" t="s">
        <v>827</v>
      </c>
      <c r="C966" s="143" t="s">
        <v>828</v>
      </c>
      <c r="D966" s="144" t="s">
        <v>829</v>
      </c>
      <c r="E966" s="250" t="s">
        <v>831</v>
      </c>
      <c r="F966" s="250" t="s">
        <v>831</v>
      </c>
      <c r="G966" s="222">
        <v>0.15</v>
      </c>
      <c r="H966" s="222">
        <v>0.15</v>
      </c>
      <c r="I966" s="251">
        <v>0.65</v>
      </c>
      <c r="J966" s="252" t="s">
        <v>831</v>
      </c>
      <c r="K966" s="261" t="s">
        <v>781</v>
      </c>
      <c r="L966" s="144" t="s">
        <v>556</v>
      </c>
    </row>
    <row r="967" spans="1:12" x14ac:dyDescent="0.3">
      <c r="A967" s="144">
        <v>110</v>
      </c>
      <c r="B967" s="143" t="s">
        <v>827</v>
      </c>
      <c r="C967" s="143" t="s">
        <v>828</v>
      </c>
      <c r="D967" s="144" t="s">
        <v>829</v>
      </c>
      <c r="E967" s="250" t="s">
        <v>832</v>
      </c>
      <c r="F967" s="250" t="s">
        <v>832</v>
      </c>
      <c r="G967" s="222">
        <v>0.15</v>
      </c>
      <c r="H967" s="222">
        <v>0.15</v>
      </c>
      <c r="I967" s="251" t="s">
        <v>833</v>
      </c>
      <c r="J967" s="252" t="s">
        <v>832</v>
      </c>
      <c r="K967" s="261" t="s">
        <v>781</v>
      </c>
      <c r="L967" s="144" t="s">
        <v>556</v>
      </c>
    </row>
    <row r="968" spans="1:12" x14ac:dyDescent="0.3">
      <c r="A968" s="144">
        <v>110</v>
      </c>
      <c r="B968" s="143" t="s">
        <v>827</v>
      </c>
      <c r="C968" s="143" t="s">
        <v>828</v>
      </c>
      <c r="D968" s="144" t="s">
        <v>829</v>
      </c>
      <c r="E968" s="250" t="s">
        <v>630</v>
      </c>
      <c r="F968" s="250" t="s">
        <v>630</v>
      </c>
      <c r="G968" s="222">
        <v>0.1</v>
      </c>
      <c r="H968" s="222">
        <v>0.1</v>
      </c>
      <c r="I968" s="251" t="s">
        <v>631</v>
      </c>
      <c r="J968" s="252" t="s">
        <v>522</v>
      </c>
      <c r="K968" s="261" t="s">
        <v>781</v>
      </c>
      <c r="L968" s="144" t="s">
        <v>556</v>
      </c>
    </row>
    <row r="969" spans="1:12" x14ac:dyDescent="0.3">
      <c r="A969" s="144">
        <v>110</v>
      </c>
      <c r="B969" s="143" t="s">
        <v>827</v>
      </c>
      <c r="C969" s="143" t="s">
        <v>828</v>
      </c>
      <c r="D969" s="144" t="s">
        <v>829</v>
      </c>
      <c r="E969" s="250" t="s">
        <v>747</v>
      </c>
      <c r="F969" s="250" t="s">
        <v>747</v>
      </c>
      <c r="G969" s="222">
        <v>0.1</v>
      </c>
      <c r="H969" s="222">
        <v>0.1</v>
      </c>
      <c r="I969" s="251">
        <v>0.01</v>
      </c>
      <c r="J969" s="252" t="s">
        <v>788</v>
      </c>
      <c r="K969" s="261" t="s">
        <v>781</v>
      </c>
      <c r="L969" s="144" t="s">
        <v>556</v>
      </c>
    </row>
    <row r="970" spans="1:12" x14ac:dyDescent="0.3">
      <c r="A970" s="144">
        <v>111</v>
      </c>
      <c r="B970" s="143" t="s">
        <v>834</v>
      </c>
      <c r="C970" s="143" t="s">
        <v>835</v>
      </c>
      <c r="D970" s="144" t="s">
        <v>829</v>
      </c>
      <c r="E970" s="250" t="s">
        <v>739</v>
      </c>
      <c r="F970" s="250" t="s">
        <v>739</v>
      </c>
      <c r="G970" s="222">
        <v>0.3</v>
      </c>
      <c r="H970" s="222">
        <v>0.3</v>
      </c>
      <c r="I970" s="251">
        <v>0.7</v>
      </c>
      <c r="J970" s="252" t="s">
        <v>830</v>
      </c>
      <c r="K970" s="261" t="s">
        <v>781</v>
      </c>
      <c r="L970" s="144" t="s">
        <v>556</v>
      </c>
    </row>
    <row r="971" spans="1:12" ht="72" x14ac:dyDescent="0.3">
      <c r="A971" s="144">
        <v>111</v>
      </c>
      <c r="B971" s="143" t="s">
        <v>834</v>
      </c>
      <c r="C971" s="143" t="s">
        <v>835</v>
      </c>
      <c r="D971" s="144" t="s">
        <v>829</v>
      </c>
      <c r="E971" s="250" t="s">
        <v>782</v>
      </c>
      <c r="F971" s="250" t="s">
        <v>782</v>
      </c>
      <c r="G971" s="222">
        <v>0.2</v>
      </c>
      <c r="H971" s="222">
        <v>0.2</v>
      </c>
      <c r="I971" s="251">
        <v>0.95</v>
      </c>
      <c r="J971" s="252" t="s">
        <v>783</v>
      </c>
      <c r="K971" s="261" t="s">
        <v>781</v>
      </c>
      <c r="L971" s="144" t="s">
        <v>556</v>
      </c>
    </row>
    <row r="972" spans="1:12" x14ac:dyDescent="0.3">
      <c r="A972" s="144">
        <v>111</v>
      </c>
      <c r="B972" s="143" t="s">
        <v>834</v>
      </c>
      <c r="C972" s="143" t="s">
        <v>835</v>
      </c>
      <c r="D972" s="144" t="s">
        <v>829</v>
      </c>
      <c r="E972" s="250" t="s">
        <v>831</v>
      </c>
      <c r="F972" s="250" t="s">
        <v>831</v>
      </c>
      <c r="G972" s="222">
        <v>0.15</v>
      </c>
      <c r="H972" s="222">
        <v>0.15</v>
      </c>
      <c r="I972" s="251">
        <v>0.65</v>
      </c>
      <c r="J972" s="252" t="s">
        <v>831</v>
      </c>
      <c r="K972" s="261" t="s">
        <v>781</v>
      </c>
      <c r="L972" s="144" t="s">
        <v>556</v>
      </c>
    </row>
    <row r="973" spans="1:12" x14ac:dyDescent="0.3">
      <c r="A973" s="144">
        <v>111</v>
      </c>
      <c r="B973" s="143" t="s">
        <v>834</v>
      </c>
      <c r="C973" s="143" t="s">
        <v>835</v>
      </c>
      <c r="D973" s="144" t="s">
        <v>829</v>
      </c>
      <c r="E973" s="250" t="s">
        <v>832</v>
      </c>
      <c r="F973" s="250" t="s">
        <v>832</v>
      </c>
      <c r="G973" s="222">
        <v>0.15</v>
      </c>
      <c r="H973" s="222">
        <v>0.15</v>
      </c>
      <c r="I973" s="251" t="s">
        <v>833</v>
      </c>
      <c r="J973" s="252" t="s">
        <v>832</v>
      </c>
      <c r="K973" s="261" t="s">
        <v>781</v>
      </c>
      <c r="L973" s="144" t="s">
        <v>556</v>
      </c>
    </row>
    <row r="974" spans="1:12" x14ac:dyDescent="0.3">
      <c r="A974" s="144">
        <v>111</v>
      </c>
      <c r="B974" s="143" t="s">
        <v>834</v>
      </c>
      <c r="C974" s="143" t="s">
        <v>835</v>
      </c>
      <c r="D974" s="144" t="s">
        <v>829</v>
      </c>
      <c r="E974" s="250" t="s">
        <v>630</v>
      </c>
      <c r="F974" s="250" t="s">
        <v>630</v>
      </c>
      <c r="G974" s="222">
        <v>0.1</v>
      </c>
      <c r="H974" s="222">
        <v>0.1</v>
      </c>
      <c r="I974" s="251" t="s">
        <v>631</v>
      </c>
      <c r="J974" s="252" t="s">
        <v>522</v>
      </c>
      <c r="K974" s="261" t="s">
        <v>781</v>
      </c>
      <c r="L974" s="144" t="s">
        <v>556</v>
      </c>
    </row>
    <row r="975" spans="1:12" x14ac:dyDescent="0.3">
      <c r="A975" s="144">
        <v>111</v>
      </c>
      <c r="B975" s="143" t="s">
        <v>834</v>
      </c>
      <c r="C975" s="143" t="s">
        <v>835</v>
      </c>
      <c r="D975" s="144" t="s">
        <v>829</v>
      </c>
      <c r="E975" s="250" t="s">
        <v>747</v>
      </c>
      <c r="F975" s="250" t="s">
        <v>747</v>
      </c>
      <c r="G975" s="222">
        <v>0.1</v>
      </c>
      <c r="H975" s="222">
        <v>0.1</v>
      </c>
      <c r="I975" s="251">
        <v>0.01</v>
      </c>
      <c r="J975" s="252" t="s">
        <v>788</v>
      </c>
      <c r="K975" s="261" t="s">
        <v>781</v>
      </c>
      <c r="L975" s="144" t="s">
        <v>556</v>
      </c>
    </row>
    <row r="976" spans="1:12" x14ac:dyDescent="0.3">
      <c r="A976" s="144">
        <v>112</v>
      </c>
      <c r="B976" s="143" t="s">
        <v>836</v>
      </c>
      <c r="C976" s="143" t="s">
        <v>837</v>
      </c>
      <c r="D976" s="144" t="s">
        <v>829</v>
      </c>
      <c r="E976" s="250" t="s">
        <v>739</v>
      </c>
      <c r="F976" s="250" t="s">
        <v>739</v>
      </c>
      <c r="G976" s="222">
        <v>0.3</v>
      </c>
      <c r="H976" s="222">
        <v>0.3</v>
      </c>
      <c r="I976" s="251">
        <v>0.7</v>
      </c>
      <c r="J976" s="252" t="s">
        <v>736</v>
      </c>
      <c r="K976" s="261" t="s">
        <v>781</v>
      </c>
      <c r="L976" s="144" t="s">
        <v>556</v>
      </c>
    </row>
    <row r="977" spans="1:12" ht="72" x14ac:dyDescent="0.3">
      <c r="A977" s="144">
        <v>112</v>
      </c>
      <c r="B977" s="143" t="s">
        <v>836</v>
      </c>
      <c r="C977" s="143" t="s">
        <v>837</v>
      </c>
      <c r="D977" s="144" t="s">
        <v>829</v>
      </c>
      <c r="E977" s="250" t="s">
        <v>782</v>
      </c>
      <c r="F977" s="250" t="s">
        <v>782</v>
      </c>
      <c r="G977" s="222">
        <v>0.2</v>
      </c>
      <c r="H977" s="222">
        <v>0.2</v>
      </c>
      <c r="I977" s="251">
        <v>0.95</v>
      </c>
      <c r="J977" s="252" t="s">
        <v>783</v>
      </c>
      <c r="K977" s="261" t="s">
        <v>781</v>
      </c>
      <c r="L977" s="144" t="s">
        <v>556</v>
      </c>
    </row>
    <row r="978" spans="1:12" x14ac:dyDescent="0.3">
      <c r="A978" s="144">
        <v>112</v>
      </c>
      <c r="B978" s="143" t="s">
        <v>836</v>
      </c>
      <c r="C978" s="143" t="s">
        <v>837</v>
      </c>
      <c r="D978" s="144" t="s">
        <v>829</v>
      </c>
      <c r="E978" s="250" t="s">
        <v>831</v>
      </c>
      <c r="F978" s="250" t="s">
        <v>831</v>
      </c>
      <c r="G978" s="222">
        <v>0.15</v>
      </c>
      <c r="H978" s="222">
        <v>0.15</v>
      </c>
      <c r="I978" s="251">
        <v>0.65</v>
      </c>
      <c r="J978" s="252" t="s">
        <v>831</v>
      </c>
      <c r="K978" s="261" t="s">
        <v>781</v>
      </c>
      <c r="L978" s="144" t="s">
        <v>556</v>
      </c>
    </row>
    <row r="979" spans="1:12" x14ac:dyDescent="0.3">
      <c r="A979" s="144">
        <v>112</v>
      </c>
      <c r="B979" s="143" t="s">
        <v>836</v>
      </c>
      <c r="C979" s="143" t="s">
        <v>837</v>
      </c>
      <c r="D979" s="144" t="s">
        <v>829</v>
      </c>
      <c r="E979" s="250" t="s">
        <v>832</v>
      </c>
      <c r="F979" s="250" t="s">
        <v>832</v>
      </c>
      <c r="G979" s="222">
        <v>0.15</v>
      </c>
      <c r="H979" s="222">
        <v>0.15</v>
      </c>
      <c r="I979" s="251" t="s">
        <v>833</v>
      </c>
      <c r="J979" s="252" t="s">
        <v>832</v>
      </c>
      <c r="K979" s="261" t="s">
        <v>781</v>
      </c>
      <c r="L979" s="144" t="s">
        <v>556</v>
      </c>
    </row>
    <row r="980" spans="1:12" x14ac:dyDescent="0.3">
      <c r="A980" s="144">
        <v>112</v>
      </c>
      <c r="B980" s="143" t="s">
        <v>836</v>
      </c>
      <c r="C980" s="143" t="s">
        <v>837</v>
      </c>
      <c r="D980" s="144" t="s">
        <v>829</v>
      </c>
      <c r="E980" s="250" t="s">
        <v>630</v>
      </c>
      <c r="F980" s="250" t="s">
        <v>630</v>
      </c>
      <c r="G980" s="222">
        <v>0.1</v>
      </c>
      <c r="H980" s="222">
        <v>0.1</v>
      </c>
      <c r="I980" s="251" t="s">
        <v>631</v>
      </c>
      <c r="J980" s="252" t="s">
        <v>522</v>
      </c>
      <c r="K980" s="261" t="s">
        <v>781</v>
      </c>
      <c r="L980" s="144" t="s">
        <v>556</v>
      </c>
    </row>
    <row r="981" spans="1:12" x14ac:dyDescent="0.3">
      <c r="A981" s="144">
        <v>112</v>
      </c>
      <c r="B981" s="143" t="s">
        <v>836</v>
      </c>
      <c r="C981" s="143" t="s">
        <v>837</v>
      </c>
      <c r="D981" s="144" t="s">
        <v>829</v>
      </c>
      <c r="E981" s="250" t="s">
        <v>747</v>
      </c>
      <c r="F981" s="250" t="s">
        <v>747</v>
      </c>
      <c r="G981" s="222">
        <v>0.1</v>
      </c>
      <c r="H981" s="222">
        <v>0.1</v>
      </c>
      <c r="I981" s="251">
        <v>0.01</v>
      </c>
      <c r="J981" s="252" t="s">
        <v>788</v>
      </c>
      <c r="K981" s="261" t="s">
        <v>781</v>
      </c>
      <c r="L981" s="144" t="s">
        <v>556</v>
      </c>
    </row>
    <row r="982" spans="1:12" x14ac:dyDescent="0.3">
      <c r="A982" s="144">
        <v>113</v>
      </c>
      <c r="B982" s="262" t="s">
        <v>838</v>
      </c>
      <c r="C982" s="262" t="s">
        <v>839</v>
      </c>
      <c r="D982" s="144" t="s">
        <v>829</v>
      </c>
      <c r="E982" s="250" t="s">
        <v>739</v>
      </c>
      <c r="F982" s="250" t="s">
        <v>739</v>
      </c>
      <c r="G982" s="222">
        <v>0.3</v>
      </c>
      <c r="H982" s="222">
        <v>0.3</v>
      </c>
      <c r="I982" s="251">
        <v>0.7</v>
      </c>
      <c r="J982" s="252" t="s">
        <v>830</v>
      </c>
      <c r="K982" s="261" t="s">
        <v>781</v>
      </c>
      <c r="L982" s="144" t="s">
        <v>556</v>
      </c>
    </row>
    <row r="983" spans="1:12" ht="72" x14ac:dyDescent="0.3">
      <c r="A983" s="144">
        <v>113</v>
      </c>
      <c r="B983" s="262" t="s">
        <v>838</v>
      </c>
      <c r="C983" s="262" t="s">
        <v>839</v>
      </c>
      <c r="D983" s="144" t="s">
        <v>829</v>
      </c>
      <c r="E983" s="250" t="s">
        <v>782</v>
      </c>
      <c r="F983" s="250" t="s">
        <v>782</v>
      </c>
      <c r="G983" s="222">
        <v>0.2</v>
      </c>
      <c r="H983" s="222">
        <v>0.2</v>
      </c>
      <c r="I983" s="251">
        <v>0.95</v>
      </c>
      <c r="J983" s="252" t="s">
        <v>783</v>
      </c>
      <c r="K983" s="261" t="s">
        <v>781</v>
      </c>
      <c r="L983" s="144" t="s">
        <v>556</v>
      </c>
    </row>
    <row r="984" spans="1:12" x14ac:dyDescent="0.3">
      <c r="A984" s="144">
        <v>113</v>
      </c>
      <c r="B984" s="262" t="s">
        <v>838</v>
      </c>
      <c r="C984" s="262" t="s">
        <v>839</v>
      </c>
      <c r="D984" s="144" t="s">
        <v>829</v>
      </c>
      <c r="E984" s="250" t="s">
        <v>831</v>
      </c>
      <c r="F984" s="250" t="s">
        <v>831</v>
      </c>
      <c r="G984" s="222">
        <v>0.15</v>
      </c>
      <c r="H984" s="222">
        <v>0.15</v>
      </c>
      <c r="I984" s="251">
        <v>0.65</v>
      </c>
      <c r="J984" s="252" t="s">
        <v>831</v>
      </c>
      <c r="K984" s="261" t="s">
        <v>781</v>
      </c>
      <c r="L984" s="144" t="s">
        <v>556</v>
      </c>
    </row>
    <row r="985" spans="1:12" x14ac:dyDescent="0.3">
      <c r="A985" s="144">
        <v>113</v>
      </c>
      <c r="B985" s="262" t="s">
        <v>838</v>
      </c>
      <c r="C985" s="262" t="s">
        <v>839</v>
      </c>
      <c r="D985" s="144" t="s">
        <v>829</v>
      </c>
      <c r="E985" s="250" t="s">
        <v>832</v>
      </c>
      <c r="F985" s="250" t="s">
        <v>832</v>
      </c>
      <c r="G985" s="222">
        <v>0.15</v>
      </c>
      <c r="H985" s="222">
        <v>0.15</v>
      </c>
      <c r="I985" s="251" t="s">
        <v>833</v>
      </c>
      <c r="J985" s="252" t="s">
        <v>832</v>
      </c>
      <c r="K985" s="261" t="s">
        <v>781</v>
      </c>
      <c r="L985" s="144" t="s">
        <v>556</v>
      </c>
    </row>
    <row r="986" spans="1:12" x14ac:dyDescent="0.3">
      <c r="A986" s="144">
        <v>113</v>
      </c>
      <c r="B986" s="262" t="s">
        <v>838</v>
      </c>
      <c r="C986" s="262" t="s">
        <v>839</v>
      </c>
      <c r="D986" s="144" t="s">
        <v>829</v>
      </c>
      <c r="E986" s="250" t="s">
        <v>630</v>
      </c>
      <c r="F986" s="250" t="s">
        <v>630</v>
      </c>
      <c r="G986" s="222">
        <v>0.1</v>
      </c>
      <c r="H986" s="222">
        <v>0.1</v>
      </c>
      <c r="I986" s="251" t="s">
        <v>631</v>
      </c>
      <c r="J986" s="252" t="s">
        <v>522</v>
      </c>
      <c r="K986" s="261" t="s">
        <v>781</v>
      </c>
      <c r="L986" s="144" t="s">
        <v>556</v>
      </c>
    </row>
    <row r="987" spans="1:12" x14ac:dyDescent="0.3">
      <c r="A987" s="144">
        <v>113</v>
      </c>
      <c r="B987" s="262" t="s">
        <v>838</v>
      </c>
      <c r="C987" s="262" t="s">
        <v>839</v>
      </c>
      <c r="D987" s="144" t="s">
        <v>829</v>
      </c>
      <c r="E987" s="250" t="s">
        <v>747</v>
      </c>
      <c r="F987" s="250" t="s">
        <v>747</v>
      </c>
      <c r="G987" s="222">
        <v>0.1</v>
      </c>
      <c r="H987" s="222">
        <v>0.1</v>
      </c>
      <c r="I987" s="251">
        <v>0.01</v>
      </c>
      <c r="J987" s="252" t="s">
        <v>788</v>
      </c>
      <c r="K987" s="261" t="s">
        <v>781</v>
      </c>
      <c r="L987" s="144" t="s">
        <v>556</v>
      </c>
    </row>
    <row r="988" spans="1:12" x14ac:dyDescent="0.3">
      <c r="A988" s="144">
        <v>114</v>
      </c>
      <c r="B988" s="143" t="s">
        <v>1049</v>
      </c>
      <c r="C988" s="159" t="s">
        <v>840</v>
      </c>
      <c r="D988" s="229" t="s">
        <v>841</v>
      </c>
      <c r="E988" s="145" t="s">
        <v>842</v>
      </c>
      <c r="F988" s="145" t="s">
        <v>842</v>
      </c>
      <c r="G988" s="222">
        <v>0.25</v>
      </c>
      <c r="H988" s="222">
        <v>0.25</v>
      </c>
      <c r="I988" s="251" t="s">
        <v>843</v>
      </c>
      <c r="J988" s="252" t="s">
        <v>844</v>
      </c>
      <c r="K988" s="261" t="s">
        <v>845</v>
      </c>
      <c r="L988" s="144" t="s">
        <v>556</v>
      </c>
    </row>
    <row r="989" spans="1:12" x14ac:dyDescent="0.3">
      <c r="A989" s="144">
        <v>114</v>
      </c>
      <c r="B989" s="143" t="s">
        <v>1049</v>
      </c>
      <c r="C989" s="159" t="s">
        <v>840</v>
      </c>
      <c r="D989" s="229" t="s">
        <v>841</v>
      </c>
      <c r="E989" s="146" t="s">
        <v>846</v>
      </c>
      <c r="F989" s="146" t="s">
        <v>846</v>
      </c>
      <c r="G989" s="222">
        <v>0.25</v>
      </c>
      <c r="H989" s="222">
        <v>0.25</v>
      </c>
      <c r="I989" s="263">
        <v>12</v>
      </c>
      <c r="J989" s="172" t="s">
        <v>847</v>
      </c>
      <c r="K989" s="261" t="s">
        <v>845</v>
      </c>
      <c r="L989" s="144" t="s">
        <v>556</v>
      </c>
    </row>
    <row r="990" spans="1:12" x14ac:dyDescent="0.3">
      <c r="A990" s="144">
        <v>114</v>
      </c>
      <c r="B990" s="143" t="s">
        <v>1049</v>
      </c>
      <c r="C990" s="159" t="s">
        <v>840</v>
      </c>
      <c r="D990" s="229" t="s">
        <v>841</v>
      </c>
      <c r="E990" s="146" t="s">
        <v>848</v>
      </c>
      <c r="F990" s="146" t="s">
        <v>848</v>
      </c>
      <c r="G990" s="222">
        <v>0.25</v>
      </c>
      <c r="H990" s="222">
        <v>0.25</v>
      </c>
      <c r="I990" s="263">
        <v>12</v>
      </c>
      <c r="J990" s="172" t="s">
        <v>849</v>
      </c>
      <c r="K990" s="261" t="s">
        <v>845</v>
      </c>
      <c r="L990" s="144" t="s">
        <v>556</v>
      </c>
    </row>
    <row r="991" spans="1:12" x14ac:dyDescent="0.3">
      <c r="A991" s="144">
        <v>114</v>
      </c>
      <c r="B991" s="143" t="s">
        <v>1049</v>
      </c>
      <c r="C991" s="159" t="s">
        <v>840</v>
      </c>
      <c r="D991" s="229" t="s">
        <v>841</v>
      </c>
      <c r="E991" s="145" t="s">
        <v>850</v>
      </c>
      <c r="F991" s="145" t="s">
        <v>850</v>
      </c>
      <c r="G991" s="222">
        <v>0.25</v>
      </c>
      <c r="H991" s="222">
        <v>0.25</v>
      </c>
      <c r="I991" s="264">
        <v>1E-4</v>
      </c>
      <c r="J991" s="172" t="s">
        <v>851</v>
      </c>
      <c r="K991" s="261" t="s">
        <v>845</v>
      </c>
      <c r="L991" s="144" t="s">
        <v>556</v>
      </c>
    </row>
    <row r="992" spans="1:12" ht="14.55" customHeight="1" x14ac:dyDescent="0.3">
      <c r="A992" s="265">
        <v>115</v>
      </c>
      <c r="B992" s="262" t="s">
        <v>852</v>
      </c>
      <c r="C992" s="262" t="s">
        <v>853</v>
      </c>
      <c r="D992" s="262" t="s">
        <v>854</v>
      </c>
      <c r="E992" s="316" t="s">
        <v>855</v>
      </c>
      <c r="F992" s="146" t="s">
        <v>855</v>
      </c>
      <c r="G992" s="305">
        <v>0.15</v>
      </c>
      <c r="H992" s="154">
        <v>0.03</v>
      </c>
      <c r="I992" s="144"/>
      <c r="J992" s="144" t="s">
        <v>856</v>
      </c>
      <c r="K992" s="144" t="s">
        <v>857</v>
      </c>
      <c r="L992" s="144" t="s">
        <v>128</v>
      </c>
    </row>
    <row r="993" spans="1:12" ht="28.8" x14ac:dyDescent="0.3">
      <c r="A993" s="265">
        <v>115</v>
      </c>
      <c r="B993" s="262" t="s">
        <v>852</v>
      </c>
      <c r="C993" s="262" t="s">
        <v>853</v>
      </c>
      <c r="D993" s="262" t="s">
        <v>854</v>
      </c>
      <c r="E993" s="316"/>
      <c r="F993" s="146" t="s">
        <v>855</v>
      </c>
      <c r="G993" s="305"/>
      <c r="H993" s="154">
        <v>0.04</v>
      </c>
      <c r="I993" s="144"/>
      <c r="J993" s="144" t="s">
        <v>858</v>
      </c>
      <c r="K993" s="144" t="s">
        <v>857</v>
      </c>
      <c r="L993" s="144" t="s">
        <v>128</v>
      </c>
    </row>
    <row r="994" spans="1:12" ht="28.8" x14ac:dyDescent="0.3">
      <c r="A994" s="265">
        <v>115</v>
      </c>
      <c r="B994" s="262" t="s">
        <v>852</v>
      </c>
      <c r="C994" s="262" t="s">
        <v>853</v>
      </c>
      <c r="D994" s="262" t="s">
        <v>854</v>
      </c>
      <c r="E994" s="316"/>
      <c r="F994" s="146" t="s">
        <v>855</v>
      </c>
      <c r="G994" s="305"/>
      <c r="H994" s="154">
        <v>0.04</v>
      </c>
      <c r="I994" s="144"/>
      <c r="J994" s="144" t="s">
        <v>859</v>
      </c>
      <c r="K994" s="144" t="s">
        <v>857</v>
      </c>
      <c r="L994" s="144" t="s">
        <v>128</v>
      </c>
    </row>
    <row r="995" spans="1:12" ht="28.8" x14ac:dyDescent="0.3">
      <c r="A995" s="265">
        <v>115</v>
      </c>
      <c r="B995" s="262" t="s">
        <v>852</v>
      </c>
      <c r="C995" s="262" t="s">
        <v>853</v>
      </c>
      <c r="D995" s="262" t="s">
        <v>854</v>
      </c>
      <c r="E995" s="316"/>
      <c r="F995" s="146" t="s">
        <v>855</v>
      </c>
      <c r="G995" s="305"/>
      <c r="H995" s="154">
        <v>0.04</v>
      </c>
      <c r="I995" s="144"/>
      <c r="J995" s="144" t="s">
        <v>860</v>
      </c>
      <c r="K995" s="144" t="s">
        <v>857</v>
      </c>
      <c r="L995" s="144" t="s">
        <v>128</v>
      </c>
    </row>
    <row r="996" spans="1:12" x14ac:dyDescent="0.3">
      <c r="A996" s="265">
        <v>115</v>
      </c>
      <c r="B996" s="262" t="s">
        <v>852</v>
      </c>
      <c r="C996" s="262" t="s">
        <v>853</v>
      </c>
      <c r="D996" s="262" t="s">
        <v>854</v>
      </c>
      <c r="E996" s="316" t="s">
        <v>861</v>
      </c>
      <c r="F996" s="146" t="s">
        <v>861</v>
      </c>
      <c r="G996" s="305">
        <v>0.15</v>
      </c>
      <c r="H996" s="154">
        <v>0.05</v>
      </c>
      <c r="I996" s="144"/>
      <c r="J996" s="144" t="s">
        <v>862</v>
      </c>
      <c r="K996" s="144" t="s">
        <v>863</v>
      </c>
      <c r="L996" s="144" t="s">
        <v>128</v>
      </c>
    </row>
    <row r="997" spans="1:12" x14ac:dyDescent="0.3">
      <c r="A997" s="265">
        <v>115</v>
      </c>
      <c r="B997" s="262" t="s">
        <v>852</v>
      </c>
      <c r="C997" s="262" t="s">
        <v>853</v>
      </c>
      <c r="D997" s="262" t="s">
        <v>854</v>
      </c>
      <c r="E997" s="316"/>
      <c r="F997" s="146" t="s">
        <v>861</v>
      </c>
      <c r="G997" s="305"/>
      <c r="H997" s="154">
        <v>0.05</v>
      </c>
      <c r="I997" s="144"/>
      <c r="J997" s="144" t="s">
        <v>864</v>
      </c>
      <c r="K997" s="144" t="s">
        <v>865</v>
      </c>
      <c r="L997" s="144" t="s">
        <v>128</v>
      </c>
    </row>
    <row r="998" spans="1:12" x14ac:dyDescent="0.3">
      <c r="A998" s="265">
        <v>115</v>
      </c>
      <c r="B998" s="262" t="s">
        <v>852</v>
      </c>
      <c r="C998" s="262" t="s">
        <v>853</v>
      </c>
      <c r="D998" s="262" t="s">
        <v>854</v>
      </c>
      <c r="E998" s="316"/>
      <c r="F998" s="146" t="s">
        <v>861</v>
      </c>
      <c r="G998" s="305"/>
      <c r="H998" s="154">
        <v>0.05</v>
      </c>
      <c r="I998" s="144"/>
      <c r="J998" s="144" t="s">
        <v>866</v>
      </c>
      <c r="K998" s="144" t="s">
        <v>865</v>
      </c>
      <c r="L998" s="144" t="s">
        <v>128</v>
      </c>
    </row>
    <row r="999" spans="1:12" x14ac:dyDescent="0.3">
      <c r="A999" s="265">
        <v>115</v>
      </c>
      <c r="B999" s="262" t="s">
        <v>852</v>
      </c>
      <c r="C999" s="262" t="s">
        <v>853</v>
      </c>
      <c r="D999" s="262" t="s">
        <v>854</v>
      </c>
      <c r="E999" s="316" t="s">
        <v>867</v>
      </c>
      <c r="F999" s="146" t="s">
        <v>867</v>
      </c>
      <c r="G999" s="305">
        <v>0.4</v>
      </c>
      <c r="H999" s="154">
        <v>0.1</v>
      </c>
      <c r="I999" s="144"/>
      <c r="J999" s="144" t="s">
        <v>868</v>
      </c>
      <c r="K999" s="144" t="s">
        <v>865</v>
      </c>
      <c r="L999" s="144" t="s">
        <v>128</v>
      </c>
    </row>
    <row r="1000" spans="1:12" x14ac:dyDescent="0.3">
      <c r="A1000" s="265">
        <v>115</v>
      </c>
      <c r="B1000" s="262" t="s">
        <v>852</v>
      </c>
      <c r="C1000" s="262" t="s">
        <v>853</v>
      </c>
      <c r="D1000" s="262" t="s">
        <v>854</v>
      </c>
      <c r="E1000" s="316"/>
      <c r="F1000" s="146" t="s">
        <v>867</v>
      </c>
      <c r="G1000" s="305"/>
      <c r="H1000" s="154">
        <v>0.1</v>
      </c>
      <c r="I1000" s="144"/>
      <c r="J1000" s="144" t="s">
        <v>869</v>
      </c>
      <c r="K1000" s="144" t="s">
        <v>865</v>
      </c>
      <c r="L1000" s="144" t="s">
        <v>128</v>
      </c>
    </row>
    <row r="1001" spans="1:12" x14ac:dyDescent="0.3">
      <c r="A1001" s="265">
        <v>115</v>
      </c>
      <c r="B1001" s="262" t="s">
        <v>852</v>
      </c>
      <c r="C1001" s="262" t="s">
        <v>853</v>
      </c>
      <c r="D1001" s="262" t="s">
        <v>854</v>
      </c>
      <c r="E1001" s="316"/>
      <c r="F1001" s="146" t="s">
        <v>867</v>
      </c>
      <c r="G1001" s="305"/>
      <c r="H1001" s="154">
        <v>0.1</v>
      </c>
      <c r="I1001" s="144"/>
      <c r="J1001" s="144" t="s">
        <v>870</v>
      </c>
      <c r="K1001" s="144" t="s">
        <v>865</v>
      </c>
      <c r="L1001" s="144" t="s">
        <v>128</v>
      </c>
    </row>
    <row r="1002" spans="1:12" x14ac:dyDescent="0.3">
      <c r="A1002" s="265">
        <v>115</v>
      </c>
      <c r="B1002" s="262" t="s">
        <v>852</v>
      </c>
      <c r="C1002" s="262" t="s">
        <v>853</v>
      </c>
      <c r="D1002" s="262" t="s">
        <v>854</v>
      </c>
      <c r="E1002" s="316"/>
      <c r="F1002" s="146" t="s">
        <v>867</v>
      </c>
      <c r="G1002" s="305"/>
      <c r="H1002" s="154">
        <v>0.1</v>
      </c>
      <c r="I1002" s="144"/>
      <c r="J1002" s="144" t="s">
        <v>871</v>
      </c>
      <c r="K1002" s="144" t="s">
        <v>865</v>
      </c>
      <c r="L1002" s="144" t="s">
        <v>128</v>
      </c>
    </row>
    <row r="1003" spans="1:12" x14ac:dyDescent="0.3">
      <c r="A1003" s="265">
        <v>115</v>
      </c>
      <c r="B1003" s="262" t="s">
        <v>852</v>
      </c>
      <c r="C1003" s="262" t="s">
        <v>853</v>
      </c>
      <c r="D1003" s="262" t="s">
        <v>854</v>
      </c>
      <c r="E1003" s="316" t="s">
        <v>872</v>
      </c>
      <c r="F1003" s="146" t="s">
        <v>872</v>
      </c>
      <c r="G1003" s="305">
        <v>0.15</v>
      </c>
      <c r="H1003" s="154">
        <v>0.06</v>
      </c>
      <c r="I1003" s="144"/>
      <c r="J1003" s="144" t="s">
        <v>873</v>
      </c>
      <c r="K1003" s="144" t="s">
        <v>874</v>
      </c>
      <c r="L1003" s="144" t="s">
        <v>128</v>
      </c>
    </row>
    <row r="1004" spans="1:12" x14ac:dyDescent="0.3">
      <c r="A1004" s="265">
        <v>115</v>
      </c>
      <c r="B1004" s="262" t="s">
        <v>852</v>
      </c>
      <c r="C1004" s="262" t="s">
        <v>853</v>
      </c>
      <c r="D1004" s="262" t="s">
        <v>854</v>
      </c>
      <c r="E1004" s="316"/>
      <c r="F1004" s="146" t="s">
        <v>872</v>
      </c>
      <c r="G1004" s="305"/>
      <c r="H1004" s="154">
        <v>0.06</v>
      </c>
      <c r="I1004" s="144"/>
      <c r="J1004" s="144" t="s">
        <v>875</v>
      </c>
      <c r="K1004" s="144" t="s">
        <v>874</v>
      </c>
      <c r="L1004" s="144" t="s">
        <v>128</v>
      </c>
    </row>
    <row r="1005" spans="1:12" x14ac:dyDescent="0.3">
      <c r="A1005" s="265">
        <v>115</v>
      </c>
      <c r="B1005" s="262" t="s">
        <v>852</v>
      </c>
      <c r="C1005" s="262" t="s">
        <v>853</v>
      </c>
      <c r="D1005" s="262" t="s">
        <v>854</v>
      </c>
      <c r="E1005" s="316"/>
      <c r="F1005" s="146" t="s">
        <v>872</v>
      </c>
      <c r="G1005" s="305"/>
      <c r="H1005" s="154">
        <v>0.03</v>
      </c>
      <c r="I1005" s="144"/>
      <c r="J1005" s="144" t="s">
        <v>876</v>
      </c>
      <c r="K1005" s="144" t="s">
        <v>874</v>
      </c>
      <c r="L1005" s="144" t="s">
        <v>128</v>
      </c>
    </row>
    <row r="1006" spans="1:12" x14ac:dyDescent="0.3">
      <c r="A1006" s="265">
        <v>115</v>
      </c>
      <c r="B1006" s="262" t="s">
        <v>852</v>
      </c>
      <c r="C1006" s="262" t="s">
        <v>853</v>
      </c>
      <c r="D1006" s="262" t="s">
        <v>854</v>
      </c>
      <c r="E1006" s="316" t="s">
        <v>877</v>
      </c>
      <c r="F1006" s="146" t="s">
        <v>877</v>
      </c>
      <c r="G1006" s="305">
        <v>0.15</v>
      </c>
      <c r="H1006" s="154">
        <v>0.05</v>
      </c>
      <c r="I1006" s="144"/>
      <c r="J1006" s="144" t="s">
        <v>878</v>
      </c>
      <c r="K1006" s="144" t="s">
        <v>874</v>
      </c>
      <c r="L1006" s="144" t="s">
        <v>128</v>
      </c>
    </row>
    <row r="1007" spans="1:12" x14ac:dyDescent="0.3">
      <c r="A1007" s="265">
        <v>115</v>
      </c>
      <c r="B1007" s="262" t="s">
        <v>852</v>
      </c>
      <c r="C1007" s="262" t="s">
        <v>853</v>
      </c>
      <c r="D1007" s="262" t="s">
        <v>854</v>
      </c>
      <c r="E1007" s="316"/>
      <c r="F1007" s="146" t="s">
        <v>877</v>
      </c>
      <c r="G1007" s="305"/>
      <c r="H1007" s="154">
        <v>0.05</v>
      </c>
      <c r="I1007" s="144"/>
      <c r="J1007" s="144" t="s">
        <v>879</v>
      </c>
      <c r="K1007" s="144" t="s">
        <v>865</v>
      </c>
      <c r="L1007" s="144" t="s">
        <v>128</v>
      </c>
    </row>
    <row r="1008" spans="1:12" x14ac:dyDescent="0.3">
      <c r="A1008" s="265">
        <v>115</v>
      </c>
      <c r="B1008" s="262" t="s">
        <v>852</v>
      </c>
      <c r="C1008" s="262" t="s">
        <v>853</v>
      </c>
      <c r="D1008" s="262" t="s">
        <v>854</v>
      </c>
      <c r="E1008" s="316"/>
      <c r="F1008" s="146" t="s">
        <v>877</v>
      </c>
      <c r="G1008" s="305"/>
      <c r="H1008" s="154">
        <v>0.05</v>
      </c>
      <c r="I1008" s="144"/>
      <c r="J1008" s="144" t="s">
        <v>880</v>
      </c>
      <c r="K1008" s="144" t="s">
        <v>874</v>
      </c>
      <c r="L1008" s="144" t="s">
        <v>128</v>
      </c>
    </row>
    <row r="1009" spans="1:12" ht="14.55" customHeight="1" x14ac:dyDescent="0.3">
      <c r="A1009" s="266">
        <v>116</v>
      </c>
      <c r="B1009" s="267" t="s">
        <v>881</v>
      </c>
      <c r="C1009" s="267" t="s">
        <v>882</v>
      </c>
      <c r="D1009" s="267" t="s">
        <v>883</v>
      </c>
      <c r="E1009" s="313" t="s">
        <v>884</v>
      </c>
      <c r="F1009" s="137" t="s">
        <v>884</v>
      </c>
      <c r="G1009" s="306">
        <v>0.2</v>
      </c>
      <c r="H1009" s="163">
        <v>0.05</v>
      </c>
      <c r="I1009" s="135"/>
      <c r="J1009" s="135" t="s">
        <v>885</v>
      </c>
      <c r="K1009" s="135"/>
      <c r="L1009" s="135" t="s">
        <v>853</v>
      </c>
    </row>
    <row r="1010" spans="1:12" ht="28.8" x14ac:dyDescent="0.3">
      <c r="A1010" s="266">
        <v>116</v>
      </c>
      <c r="B1010" s="267" t="s">
        <v>881</v>
      </c>
      <c r="C1010" s="267" t="s">
        <v>882</v>
      </c>
      <c r="D1010" s="267" t="s">
        <v>883</v>
      </c>
      <c r="E1010" s="313"/>
      <c r="F1010" s="137" t="s">
        <v>884</v>
      </c>
      <c r="G1010" s="306"/>
      <c r="H1010" s="163">
        <v>7.4999999999999997E-2</v>
      </c>
      <c r="I1010" s="135"/>
      <c r="J1010" s="135" t="s">
        <v>886</v>
      </c>
      <c r="K1010" s="135"/>
      <c r="L1010" s="135" t="s">
        <v>853</v>
      </c>
    </row>
    <row r="1011" spans="1:12" ht="28.8" x14ac:dyDescent="0.3">
      <c r="A1011" s="266">
        <v>116</v>
      </c>
      <c r="B1011" s="267" t="s">
        <v>881</v>
      </c>
      <c r="C1011" s="267" t="s">
        <v>882</v>
      </c>
      <c r="D1011" s="267" t="s">
        <v>883</v>
      </c>
      <c r="E1011" s="313"/>
      <c r="F1011" s="137" t="s">
        <v>884</v>
      </c>
      <c r="G1011" s="306"/>
      <c r="H1011" s="163">
        <v>7.4999999999999997E-2</v>
      </c>
      <c r="I1011" s="135"/>
      <c r="J1011" s="135" t="s">
        <v>887</v>
      </c>
      <c r="K1011" s="135"/>
      <c r="L1011" s="135" t="s">
        <v>853</v>
      </c>
    </row>
    <row r="1012" spans="1:12" ht="14.55" customHeight="1" x14ac:dyDescent="0.3">
      <c r="A1012" s="266">
        <v>116</v>
      </c>
      <c r="B1012" s="267" t="s">
        <v>881</v>
      </c>
      <c r="C1012" s="267" t="s">
        <v>882</v>
      </c>
      <c r="D1012" s="267" t="s">
        <v>883</v>
      </c>
      <c r="E1012" s="313" t="s">
        <v>888</v>
      </c>
      <c r="F1012" s="137" t="s">
        <v>888</v>
      </c>
      <c r="G1012" s="306">
        <v>0.2</v>
      </c>
      <c r="H1012" s="163">
        <v>0.05</v>
      </c>
      <c r="I1012" s="135"/>
      <c r="J1012" s="135" t="s">
        <v>889</v>
      </c>
      <c r="K1012" s="135"/>
      <c r="L1012" s="135" t="s">
        <v>853</v>
      </c>
    </row>
    <row r="1013" spans="1:12" ht="28.8" x14ac:dyDescent="0.3">
      <c r="A1013" s="266">
        <v>116</v>
      </c>
      <c r="B1013" s="267" t="s">
        <v>881</v>
      </c>
      <c r="C1013" s="267" t="s">
        <v>882</v>
      </c>
      <c r="D1013" s="267" t="s">
        <v>883</v>
      </c>
      <c r="E1013" s="313"/>
      <c r="F1013" s="137" t="s">
        <v>888</v>
      </c>
      <c r="G1013" s="306"/>
      <c r="H1013" s="163">
        <v>0.05</v>
      </c>
      <c r="I1013" s="135"/>
      <c r="J1013" s="135" t="s">
        <v>890</v>
      </c>
      <c r="K1013" s="135"/>
      <c r="L1013" s="135" t="s">
        <v>853</v>
      </c>
    </row>
    <row r="1014" spans="1:12" ht="28.8" x14ac:dyDescent="0.3">
      <c r="A1014" s="266">
        <v>116</v>
      </c>
      <c r="B1014" s="267" t="s">
        <v>881</v>
      </c>
      <c r="C1014" s="267" t="s">
        <v>882</v>
      </c>
      <c r="D1014" s="267" t="s">
        <v>883</v>
      </c>
      <c r="E1014" s="313"/>
      <c r="F1014" s="137" t="s">
        <v>888</v>
      </c>
      <c r="G1014" s="306"/>
      <c r="H1014" s="163">
        <v>0.1</v>
      </c>
      <c r="I1014" s="135"/>
      <c r="J1014" s="135" t="s">
        <v>891</v>
      </c>
      <c r="K1014" s="135"/>
      <c r="L1014" s="135" t="s">
        <v>853</v>
      </c>
    </row>
    <row r="1015" spans="1:12" ht="14.55" customHeight="1" x14ac:dyDescent="0.3">
      <c r="A1015" s="266">
        <v>116</v>
      </c>
      <c r="B1015" s="267" t="s">
        <v>881</v>
      </c>
      <c r="C1015" s="267" t="s">
        <v>882</v>
      </c>
      <c r="D1015" s="267" t="s">
        <v>883</v>
      </c>
      <c r="E1015" s="313" t="s">
        <v>892</v>
      </c>
      <c r="F1015" s="137" t="s">
        <v>892</v>
      </c>
      <c r="G1015" s="306">
        <v>0.2</v>
      </c>
      <c r="H1015" s="163">
        <v>0.05</v>
      </c>
      <c r="I1015" s="135"/>
      <c r="J1015" s="135" t="s">
        <v>893</v>
      </c>
      <c r="K1015" s="135"/>
      <c r="L1015" s="135" t="s">
        <v>853</v>
      </c>
    </row>
    <row r="1016" spans="1:12" ht="28.8" x14ac:dyDescent="0.3">
      <c r="A1016" s="266">
        <v>116</v>
      </c>
      <c r="B1016" s="267" t="s">
        <v>881</v>
      </c>
      <c r="C1016" s="267" t="s">
        <v>882</v>
      </c>
      <c r="D1016" s="267" t="s">
        <v>883</v>
      </c>
      <c r="E1016" s="313"/>
      <c r="F1016" s="137" t="s">
        <v>892</v>
      </c>
      <c r="G1016" s="306"/>
      <c r="H1016" s="163">
        <v>0.05</v>
      </c>
      <c r="I1016" s="135"/>
      <c r="J1016" s="135" t="s">
        <v>894</v>
      </c>
      <c r="K1016" s="135"/>
      <c r="L1016" s="135" t="s">
        <v>853</v>
      </c>
    </row>
    <row r="1017" spans="1:12" ht="28.8" x14ac:dyDescent="0.3">
      <c r="A1017" s="266">
        <v>116</v>
      </c>
      <c r="B1017" s="267" t="s">
        <v>881</v>
      </c>
      <c r="C1017" s="267" t="s">
        <v>882</v>
      </c>
      <c r="D1017" s="267" t="s">
        <v>883</v>
      </c>
      <c r="E1017" s="313"/>
      <c r="F1017" s="137" t="s">
        <v>892</v>
      </c>
      <c r="G1017" s="306"/>
      <c r="H1017" s="163">
        <v>0.05</v>
      </c>
      <c r="I1017" s="135"/>
      <c r="J1017" s="135" t="s">
        <v>895</v>
      </c>
      <c r="K1017" s="135"/>
      <c r="L1017" s="135" t="s">
        <v>853</v>
      </c>
    </row>
    <row r="1018" spans="1:12" ht="28.8" x14ac:dyDescent="0.3">
      <c r="A1018" s="266">
        <v>116</v>
      </c>
      <c r="B1018" s="267" t="s">
        <v>881</v>
      </c>
      <c r="C1018" s="267" t="s">
        <v>882</v>
      </c>
      <c r="D1018" s="267" t="s">
        <v>883</v>
      </c>
      <c r="E1018" s="313"/>
      <c r="F1018" s="137" t="s">
        <v>892</v>
      </c>
      <c r="G1018" s="306"/>
      <c r="H1018" s="163">
        <v>0.05</v>
      </c>
      <c r="I1018" s="135"/>
      <c r="J1018" s="135" t="s">
        <v>896</v>
      </c>
      <c r="K1018" s="135"/>
      <c r="L1018" s="135" t="s">
        <v>853</v>
      </c>
    </row>
    <row r="1019" spans="1:12" ht="14.55" customHeight="1" x14ac:dyDescent="0.3">
      <c r="A1019" s="266">
        <v>116</v>
      </c>
      <c r="B1019" s="267" t="s">
        <v>881</v>
      </c>
      <c r="C1019" s="267" t="s">
        <v>882</v>
      </c>
      <c r="D1019" s="267" t="s">
        <v>883</v>
      </c>
      <c r="E1019" s="313" t="s">
        <v>897</v>
      </c>
      <c r="F1019" s="137" t="s">
        <v>897</v>
      </c>
      <c r="G1019" s="306">
        <v>0.2</v>
      </c>
      <c r="H1019" s="163">
        <v>0.1</v>
      </c>
      <c r="I1019" s="135"/>
      <c r="J1019" s="135" t="s">
        <v>898</v>
      </c>
      <c r="K1019" s="135"/>
      <c r="L1019" s="135" t="s">
        <v>853</v>
      </c>
    </row>
    <row r="1020" spans="1:12" ht="28.8" x14ac:dyDescent="0.3">
      <c r="A1020" s="266">
        <v>116</v>
      </c>
      <c r="B1020" s="267" t="s">
        <v>881</v>
      </c>
      <c r="C1020" s="267" t="s">
        <v>882</v>
      </c>
      <c r="D1020" s="267" t="s">
        <v>883</v>
      </c>
      <c r="E1020" s="313"/>
      <c r="F1020" s="137" t="s">
        <v>897</v>
      </c>
      <c r="G1020" s="306"/>
      <c r="H1020" s="163">
        <v>0.1</v>
      </c>
      <c r="I1020" s="135"/>
      <c r="J1020" s="135" t="s">
        <v>899</v>
      </c>
      <c r="K1020" s="135"/>
      <c r="L1020" s="135" t="s">
        <v>853</v>
      </c>
    </row>
    <row r="1021" spans="1:12" x14ac:dyDescent="0.3">
      <c r="A1021" s="266">
        <v>116</v>
      </c>
      <c r="B1021" s="267" t="s">
        <v>881</v>
      </c>
      <c r="C1021" s="267" t="s">
        <v>882</v>
      </c>
      <c r="D1021" s="267" t="s">
        <v>883</v>
      </c>
      <c r="E1021" s="313" t="s">
        <v>900</v>
      </c>
      <c r="F1021" s="137" t="s">
        <v>900</v>
      </c>
      <c r="G1021" s="306">
        <v>0.2</v>
      </c>
      <c r="H1021" s="163">
        <v>7.4999999999999997E-2</v>
      </c>
      <c r="I1021" s="135"/>
      <c r="J1021" s="135" t="s">
        <v>901</v>
      </c>
      <c r="K1021" s="135"/>
      <c r="L1021" s="135" t="s">
        <v>853</v>
      </c>
    </row>
    <row r="1022" spans="1:12" x14ac:dyDescent="0.3">
      <c r="A1022" s="266">
        <v>116</v>
      </c>
      <c r="B1022" s="267" t="s">
        <v>881</v>
      </c>
      <c r="C1022" s="267" t="s">
        <v>882</v>
      </c>
      <c r="D1022" s="267" t="s">
        <v>883</v>
      </c>
      <c r="E1022" s="313"/>
      <c r="F1022" s="137" t="s">
        <v>900</v>
      </c>
      <c r="G1022" s="306"/>
      <c r="H1022" s="163">
        <v>0.05</v>
      </c>
      <c r="I1022" s="135"/>
      <c r="J1022" s="135" t="s">
        <v>902</v>
      </c>
      <c r="K1022" s="135"/>
      <c r="L1022" s="135" t="s">
        <v>853</v>
      </c>
    </row>
    <row r="1023" spans="1:12" x14ac:dyDescent="0.3">
      <c r="A1023" s="266">
        <v>116</v>
      </c>
      <c r="B1023" s="267" t="s">
        <v>881</v>
      </c>
      <c r="C1023" s="267" t="s">
        <v>882</v>
      </c>
      <c r="D1023" s="267" t="s">
        <v>883</v>
      </c>
      <c r="E1023" s="313"/>
      <c r="F1023" s="137" t="s">
        <v>900</v>
      </c>
      <c r="G1023" s="306"/>
      <c r="H1023" s="163">
        <v>7.4999999999999997E-2</v>
      </c>
      <c r="I1023" s="135"/>
      <c r="J1023" s="135" t="s">
        <v>903</v>
      </c>
      <c r="K1023" s="135"/>
      <c r="L1023" s="135" t="s">
        <v>853</v>
      </c>
    </row>
    <row r="1024" spans="1:12" ht="14.55" customHeight="1" x14ac:dyDescent="0.3">
      <c r="A1024" s="265">
        <v>117</v>
      </c>
      <c r="B1024" s="265" t="s">
        <v>904</v>
      </c>
      <c r="C1024" s="265" t="s">
        <v>905</v>
      </c>
      <c r="D1024" s="262" t="s">
        <v>906</v>
      </c>
      <c r="E1024" s="316" t="s">
        <v>907</v>
      </c>
      <c r="F1024" s="146" t="s">
        <v>907</v>
      </c>
      <c r="G1024" s="305">
        <v>0.3</v>
      </c>
      <c r="H1024" s="268">
        <v>0.1</v>
      </c>
      <c r="I1024" s="144"/>
      <c r="J1024" s="144" t="s">
        <v>908</v>
      </c>
      <c r="K1024" s="144"/>
      <c r="L1024" s="144" t="s">
        <v>853</v>
      </c>
    </row>
    <row r="1025" spans="1:12" ht="28.8" x14ac:dyDescent="0.3">
      <c r="A1025" s="265">
        <v>117</v>
      </c>
      <c r="B1025" s="265" t="s">
        <v>904</v>
      </c>
      <c r="C1025" s="265" t="s">
        <v>905</v>
      </c>
      <c r="D1025" s="262" t="s">
        <v>906</v>
      </c>
      <c r="E1025" s="316"/>
      <c r="F1025" s="146" t="s">
        <v>907</v>
      </c>
      <c r="G1025" s="305"/>
      <c r="H1025" s="268">
        <v>0.05</v>
      </c>
      <c r="I1025" s="144"/>
      <c r="J1025" s="144" t="s">
        <v>909</v>
      </c>
      <c r="K1025" s="144"/>
      <c r="L1025" s="144" t="s">
        <v>853</v>
      </c>
    </row>
    <row r="1026" spans="1:12" ht="28.8" x14ac:dyDescent="0.3">
      <c r="A1026" s="265">
        <v>117</v>
      </c>
      <c r="B1026" s="265" t="s">
        <v>904</v>
      </c>
      <c r="C1026" s="265" t="s">
        <v>905</v>
      </c>
      <c r="D1026" s="262" t="s">
        <v>906</v>
      </c>
      <c r="E1026" s="316"/>
      <c r="F1026" s="146" t="s">
        <v>907</v>
      </c>
      <c r="G1026" s="305"/>
      <c r="H1026" s="268">
        <v>0.05</v>
      </c>
      <c r="I1026" s="144"/>
      <c r="J1026" s="144" t="s">
        <v>910</v>
      </c>
      <c r="K1026" s="144"/>
      <c r="L1026" s="144" t="s">
        <v>853</v>
      </c>
    </row>
    <row r="1027" spans="1:12" ht="28.8" x14ac:dyDescent="0.3">
      <c r="A1027" s="265">
        <v>117</v>
      </c>
      <c r="B1027" s="265" t="s">
        <v>904</v>
      </c>
      <c r="C1027" s="265" t="s">
        <v>905</v>
      </c>
      <c r="D1027" s="262" t="s">
        <v>906</v>
      </c>
      <c r="E1027" s="316"/>
      <c r="F1027" s="146" t="s">
        <v>907</v>
      </c>
      <c r="G1027" s="305"/>
      <c r="H1027" s="268">
        <v>0.05</v>
      </c>
      <c r="I1027" s="144"/>
      <c r="J1027" s="144" t="s">
        <v>911</v>
      </c>
      <c r="K1027" s="144"/>
      <c r="L1027" s="144" t="s">
        <v>853</v>
      </c>
    </row>
    <row r="1028" spans="1:12" ht="28.8" x14ac:dyDescent="0.3">
      <c r="A1028" s="265">
        <v>117</v>
      </c>
      <c r="B1028" s="265" t="s">
        <v>904</v>
      </c>
      <c r="C1028" s="265" t="s">
        <v>905</v>
      </c>
      <c r="D1028" s="262" t="s">
        <v>906</v>
      </c>
      <c r="E1028" s="316"/>
      <c r="F1028" s="146" t="s">
        <v>907</v>
      </c>
      <c r="G1028" s="305"/>
      <c r="H1028" s="268">
        <v>0.05</v>
      </c>
      <c r="I1028" s="144"/>
      <c r="J1028" s="144" t="s">
        <v>912</v>
      </c>
      <c r="K1028" s="144"/>
      <c r="L1028" s="144" t="s">
        <v>853</v>
      </c>
    </row>
    <row r="1029" spans="1:12" ht="14.55" customHeight="1" x14ac:dyDescent="0.3">
      <c r="A1029" s="265">
        <v>117</v>
      </c>
      <c r="B1029" s="265" t="s">
        <v>904</v>
      </c>
      <c r="C1029" s="265" t="s">
        <v>905</v>
      </c>
      <c r="D1029" s="262" t="s">
        <v>906</v>
      </c>
      <c r="E1029" s="316" t="s">
        <v>913</v>
      </c>
      <c r="F1029" s="146" t="s">
        <v>913</v>
      </c>
      <c r="G1029" s="305">
        <v>0.3</v>
      </c>
      <c r="H1029" s="268">
        <v>0.1</v>
      </c>
      <c r="I1029" s="144"/>
      <c r="J1029" s="144" t="s">
        <v>914</v>
      </c>
      <c r="K1029" s="144"/>
      <c r="L1029" s="144" t="s">
        <v>853</v>
      </c>
    </row>
    <row r="1030" spans="1:12" ht="28.8" x14ac:dyDescent="0.3">
      <c r="A1030" s="265">
        <v>117</v>
      </c>
      <c r="B1030" s="265" t="s">
        <v>904</v>
      </c>
      <c r="C1030" s="265" t="s">
        <v>905</v>
      </c>
      <c r="D1030" s="262" t="s">
        <v>906</v>
      </c>
      <c r="E1030" s="316"/>
      <c r="F1030" s="146" t="s">
        <v>913</v>
      </c>
      <c r="G1030" s="305"/>
      <c r="H1030" s="268">
        <v>0.1</v>
      </c>
      <c r="I1030" s="144"/>
      <c r="J1030" s="144" t="s">
        <v>915</v>
      </c>
      <c r="K1030" s="144"/>
      <c r="L1030" s="144" t="s">
        <v>853</v>
      </c>
    </row>
    <row r="1031" spans="1:12" ht="28.8" x14ac:dyDescent="0.3">
      <c r="A1031" s="265">
        <v>117</v>
      </c>
      <c r="B1031" s="265" t="s">
        <v>904</v>
      </c>
      <c r="C1031" s="265" t="s">
        <v>905</v>
      </c>
      <c r="D1031" s="262" t="s">
        <v>906</v>
      </c>
      <c r="E1031" s="316"/>
      <c r="F1031" s="146" t="s">
        <v>913</v>
      </c>
      <c r="G1031" s="305"/>
      <c r="H1031" s="268">
        <v>0.1</v>
      </c>
      <c r="I1031" s="144"/>
      <c r="J1031" s="144" t="s">
        <v>916</v>
      </c>
      <c r="K1031" s="144"/>
      <c r="L1031" s="144" t="s">
        <v>853</v>
      </c>
    </row>
    <row r="1032" spans="1:12" ht="14.55" customHeight="1" x14ac:dyDescent="0.3">
      <c r="A1032" s="265">
        <v>117</v>
      </c>
      <c r="B1032" s="265" t="s">
        <v>904</v>
      </c>
      <c r="C1032" s="265" t="s">
        <v>905</v>
      </c>
      <c r="D1032" s="262" t="s">
        <v>906</v>
      </c>
      <c r="E1032" s="316" t="s">
        <v>917</v>
      </c>
      <c r="F1032" s="146" t="s">
        <v>917</v>
      </c>
      <c r="G1032" s="305">
        <v>0.2</v>
      </c>
      <c r="H1032" s="268">
        <v>0.1</v>
      </c>
      <c r="I1032" s="144"/>
      <c r="J1032" s="144" t="s">
        <v>918</v>
      </c>
      <c r="K1032" s="144"/>
      <c r="L1032" s="144" t="s">
        <v>853</v>
      </c>
    </row>
    <row r="1033" spans="1:12" ht="28.8" x14ac:dyDescent="0.3">
      <c r="A1033" s="265">
        <v>117</v>
      </c>
      <c r="B1033" s="265" t="s">
        <v>904</v>
      </c>
      <c r="C1033" s="265" t="s">
        <v>905</v>
      </c>
      <c r="D1033" s="262" t="s">
        <v>906</v>
      </c>
      <c r="E1033" s="316"/>
      <c r="F1033" s="146" t="s">
        <v>917</v>
      </c>
      <c r="G1033" s="305"/>
      <c r="H1033" s="268">
        <v>0.1</v>
      </c>
      <c r="I1033" s="144"/>
      <c r="J1033" s="144" t="s">
        <v>919</v>
      </c>
      <c r="K1033" s="144"/>
      <c r="L1033" s="144" t="s">
        <v>853</v>
      </c>
    </row>
    <row r="1034" spans="1:12" ht="14.55" customHeight="1" x14ac:dyDescent="0.3">
      <c r="A1034" s="265">
        <v>117</v>
      </c>
      <c r="B1034" s="265" t="s">
        <v>904</v>
      </c>
      <c r="C1034" s="265" t="s">
        <v>905</v>
      </c>
      <c r="D1034" s="262" t="s">
        <v>906</v>
      </c>
      <c r="E1034" s="316" t="s">
        <v>920</v>
      </c>
      <c r="F1034" s="146" t="s">
        <v>920</v>
      </c>
      <c r="G1034" s="305">
        <v>0.2</v>
      </c>
      <c r="H1034" s="268">
        <v>0.1</v>
      </c>
      <c r="I1034" s="144"/>
      <c r="J1034" s="144" t="s">
        <v>921</v>
      </c>
      <c r="K1034" s="144"/>
      <c r="L1034" s="144" t="s">
        <v>853</v>
      </c>
    </row>
    <row r="1035" spans="1:12" ht="28.8" x14ac:dyDescent="0.3">
      <c r="A1035" s="265">
        <v>117</v>
      </c>
      <c r="B1035" s="265" t="s">
        <v>904</v>
      </c>
      <c r="C1035" s="265" t="s">
        <v>905</v>
      </c>
      <c r="D1035" s="262" t="s">
        <v>906</v>
      </c>
      <c r="E1035" s="316"/>
      <c r="F1035" s="146" t="s">
        <v>920</v>
      </c>
      <c r="G1035" s="305"/>
      <c r="H1035" s="268">
        <v>0.1</v>
      </c>
      <c r="I1035" s="144"/>
      <c r="J1035" s="144" t="s">
        <v>922</v>
      </c>
      <c r="K1035" s="144"/>
      <c r="L1035" s="144" t="s">
        <v>853</v>
      </c>
    </row>
    <row r="1036" spans="1:12" ht="14.55" customHeight="1" x14ac:dyDescent="0.3">
      <c r="A1036" s="266">
        <v>118</v>
      </c>
      <c r="B1036" s="269" t="s">
        <v>923</v>
      </c>
      <c r="C1036" s="269" t="s">
        <v>924</v>
      </c>
      <c r="D1036" s="267" t="s">
        <v>925</v>
      </c>
      <c r="E1036" s="313" t="s">
        <v>926</v>
      </c>
      <c r="F1036" s="137" t="s">
        <v>926</v>
      </c>
      <c r="G1036" s="306">
        <v>0.2</v>
      </c>
      <c r="H1036" s="163">
        <v>0.1</v>
      </c>
      <c r="I1036" s="135"/>
      <c r="J1036" s="135" t="s">
        <v>927</v>
      </c>
      <c r="K1036" s="135"/>
      <c r="L1036" s="135" t="s">
        <v>853</v>
      </c>
    </row>
    <row r="1037" spans="1:12" ht="28.8" x14ac:dyDescent="0.3">
      <c r="A1037" s="266">
        <v>118</v>
      </c>
      <c r="B1037" s="269" t="s">
        <v>923</v>
      </c>
      <c r="C1037" s="269" t="s">
        <v>924</v>
      </c>
      <c r="D1037" s="267" t="s">
        <v>925</v>
      </c>
      <c r="E1037" s="313"/>
      <c r="F1037" s="137" t="s">
        <v>926</v>
      </c>
      <c r="G1037" s="306"/>
      <c r="H1037" s="163">
        <v>0.05</v>
      </c>
      <c r="I1037" s="135"/>
      <c r="J1037" s="135" t="s">
        <v>928</v>
      </c>
      <c r="K1037" s="135"/>
      <c r="L1037" s="135" t="s">
        <v>853</v>
      </c>
    </row>
    <row r="1038" spans="1:12" ht="28.8" x14ac:dyDescent="0.3">
      <c r="A1038" s="266">
        <v>118</v>
      </c>
      <c r="B1038" s="269" t="s">
        <v>923</v>
      </c>
      <c r="C1038" s="269" t="s">
        <v>924</v>
      </c>
      <c r="D1038" s="267" t="s">
        <v>925</v>
      </c>
      <c r="E1038" s="313"/>
      <c r="F1038" s="137" t="s">
        <v>926</v>
      </c>
      <c r="G1038" s="306"/>
      <c r="H1038" s="163">
        <v>0.05</v>
      </c>
      <c r="I1038" s="135"/>
      <c r="J1038" s="135" t="s">
        <v>929</v>
      </c>
      <c r="K1038" s="135"/>
      <c r="L1038" s="135" t="s">
        <v>853</v>
      </c>
    </row>
    <row r="1039" spans="1:12" ht="14.55" customHeight="1" x14ac:dyDescent="0.3">
      <c r="A1039" s="266">
        <v>118</v>
      </c>
      <c r="B1039" s="269" t="s">
        <v>923</v>
      </c>
      <c r="C1039" s="269" t="s">
        <v>924</v>
      </c>
      <c r="D1039" s="267" t="s">
        <v>925</v>
      </c>
      <c r="E1039" s="313" t="s">
        <v>930</v>
      </c>
      <c r="F1039" s="137" t="s">
        <v>930</v>
      </c>
      <c r="G1039" s="306">
        <v>0.2</v>
      </c>
      <c r="H1039" s="163">
        <v>0.1</v>
      </c>
      <c r="I1039" s="135"/>
      <c r="J1039" s="135" t="s">
        <v>931</v>
      </c>
      <c r="K1039" s="135"/>
      <c r="L1039" s="135" t="s">
        <v>853</v>
      </c>
    </row>
    <row r="1040" spans="1:12" ht="28.8" x14ac:dyDescent="0.3">
      <c r="A1040" s="266">
        <v>118</v>
      </c>
      <c r="B1040" s="269" t="s">
        <v>923</v>
      </c>
      <c r="C1040" s="269" t="s">
        <v>924</v>
      </c>
      <c r="D1040" s="267" t="s">
        <v>925</v>
      </c>
      <c r="E1040" s="313"/>
      <c r="F1040" s="137" t="s">
        <v>930</v>
      </c>
      <c r="G1040" s="306"/>
      <c r="H1040" s="163">
        <v>0.1</v>
      </c>
      <c r="I1040" s="135"/>
      <c r="J1040" s="135" t="s">
        <v>932</v>
      </c>
      <c r="K1040" s="135"/>
      <c r="L1040" s="135" t="s">
        <v>853</v>
      </c>
    </row>
    <row r="1041" spans="1:12" ht="14.55" customHeight="1" x14ac:dyDescent="0.3">
      <c r="A1041" s="266">
        <v>118</v>
      </c>
      <c r="B1041" s="269" t="s">
        <v>923</v>
      </c>
      <c r="C1041" s="269" t="s">
        <v>924</v>
      </c>
      <c r="D1041" s="267" t="s">
        <v>925</v>
      </c>
      <c r="E1041" s="328" t="s">
        <v>933</v>
      </c>
      <c r="F1041" s="158" t="s">
        <v>933</v>
      </c>
      <c r="G1041" s="306">
        <v>0.25</v>
      </c>
      <c r="H1041" s="163">
        <v>0.1</v>
      </c>
      <c r="I1041" s="135"/>
      <c r="J1041" s="135" t="s">
        <v>934</v>
      </c>
      <c r="K1041" s="135"/>
      <c r="L1041" s="135" t="s">
        <v>853</v>
      </c>
    </row>
    <row r="1042" spans="1:12" ht="28.8" x14ac:dyDescent="0.3">
      <c r="A1042" s="266">
        <v>118</v>
      </c>
      <c r="B1042" s="269" t="s">
        <v>923</v>
      </c>
      <c r="C1042" s="269" t="s">
        <v>924</v>
      </c>
      <c r="D1042" s="267" t="s">
        <v>925</v>
      </c>
      <c r="E1042" s="328"/>
      <c r="F1042" s="158" t="s">
        <v>933</v>
      </c>
      <c r="G1042" s="306"/>
      <c r="H1042" s="163">
        <v>0.1</v>
      </c>
      <c r="I1042" s="135"/>
      <c r="J1042" s="135" t="s">
        <v>935</v>
      </c>
      <c r="K1042" s="135"/>
      <c r="L1042" s="135" t="s">
        <v>853</v>
      </c>
    </row>
    <row r="1043" spans="1:12" ht="28.8" x14ac:dyDescent="0.3">
      <c r="A1043" s="266">
        <v>118</v>
      </c>
      <c r="B1043" s="269" t="s">
        <v>923</v>
      </c>
      <c r="C1043" s="269" t="s">
        <v>924</v>
      </c>
      <c r="D1043" s="267" t="s">
        <v>925</v>
      </c>
      <c r="E1043" s="328"/>
      <c r="F1043" s="158" t="s">
        <v>933</v>
      </c>
      <c r="G1043" s="306"/>
      <c r="H1043" s="163">
        <v>0.05</v>
      </c>
      <c r="I1043" s="135"/>
      <c r="J1043" s="135" t="s">
        <v>936</v>
      </c>
      <c r="K1043" s="135"/>
      <c r="L1043" s="135" t="s">
        <v>853</v>
      </c>
    </row>
    <row r="1044" spans="1:12" ht="14.55" customHeight="1" x14ac:dyDescent="0.3">
      <c r="A1044" s="266">
        <v>118</v>
      </c>
      <c r="B1044" s="269" t="s">
        <v>923</v>
      </c>
      <c r="C1044" s="269" t="s">
        <v>924</v>
      </c>
      <c r="D1044" s="267" t="s">
        <v>925</v>
      </c>
      <c r="E1044" s="313" t="s">
        <v>937</v>
      </c>
      <c r="F1044" s="137" t="s">
        <v>937</v>
      </c>
      <c r="G1044" s="306">
        <v>0.15</v>
      </c>
      <c r="H1044" s="163">
        <v>0.1</v>
      </c>
      <c r="I1044" s="135"/>
      <c r="J1044" s="135" t="s">
        <v>938</v>
      </c>
      <c r="K1044" s="135"/>
      <c r="L1044" s="135" t="s">
        <v>853</v>
      </c>
    </row>
    <row r="1045" spans="1:12" ht="28.8" x14ac:dyDescent="0.3">
      <c r="A1045" s="266">
        <v>118</v>
      </c>
      <c r="B1045" s="269" t="s">
        <v>923</v>
      </c>
      <c r="C1045" s="269" t="s">
        <v>924</v>
      </c>
      <c r="D1045" s="267" t="s">
        <v>925</v>
      </c>
      <c r="E1045" s="313"/>
      <c r="F1045" s="137" t="s">
        <v>937</v>
      </c>
      <c r="G1045" s="306"/>
      <c r="H1045" s="163">
        <v>0.05</v>
      </c>
      <c r="I1045" s="135"/>
      <c r="J1045" s="135" t="s">
        <v>939</v>
      </c>
      <c r="K1045" s="135"/>
      <c r="L1045" s="135" t="s">
        <v>853</v>
      </c>
    </row>
    <row r="1046" spans="1:12" ht="14.55" customHeight="1" x14ac:dyDescent="0.3">
      <c r="A1046" s="266">
        <v>118</v>
      </c>
      <c r="B1046" s="269" t="s">
        <v>923</v>
      </c>
      <c r="C1046" s="269" t="s">
        <v>924</v>
      </c>
      <c r="D1046" s="267" t="s">
        <v>925</v>
      </c>
      <c r="E1046" s="313" t="s">
        <v>940</v>
      </c>
      <c r="F1046" s="137" t="s">
        <v>940</v>
      </c>
      <c r="G1046" s="306">
        <v>0.2</v>
      </c>
      <c r="H1046" s="163">
        <v>0.1</v>
      </c>
      <c r="I1046" s="135"/>
      <c r="J1046" s="135" t="s">
        <v>941</v>
      </c>
      <c r="K1046" s="135"/>
      <c r="L1046" s="135" t="s">
        <v>853</v>
      </c>
    </row>
    <row r="1047" spans="1:12" ht="28.8" x14ac:dyDescent="0.3">
      <c r="A1047" s="266">
        <v>118</v>
      </c>
      <c r="B1047" s="269" t="s">
        <v>923</v>
      </c>
      <c r="C1047" s="269" t="s">
        <v>924</v>
      </c>
      <c r="D1047" s="267" t="s">
        <v>925</v>
      </c>
      <c r="E1047" s="313"/>
      <c r="F1047" s="137" t="s">
        <v>940</v>
      </c>
      <c r="G1047" s="306"/>
      <c r="H1047" s="163">
        <v>0.1</v>
      </c>
      <c r="I1047" s="135"/>
      <c r="J1047" s="135" t="s">
        <v>942</v>
      </c>
      <c r="K1047" s="135"/>
      <c r="L1047" s="135" t="s">
        <v>853</v>
      </c>
    </row>
    <row r="1048" spans="1:12" ht="14.55" customHeight="1" x14ac:dyDescent="0.3">
      <c r="A1048" s="266">
        <v>119</v>
      </c>
      <c r="B1048" s="262" t="s">
        <v>943</v>
      </c>
      <c r="C1048" s="262" t="s">
        <v>944</v>
      </c>
      <c r="D1048" s="262" t="s">
        <v>945</v>
      </c>
      <c r="E1048" s="329" t="s">
        <v>946</v>
      </c>
      <c r="F1048" s="270" t="s">
        <v>946</v>
      </c>
      <c r="G1048" s="330">
        <v>0.3</v>
      </c>
      <c r="H1048" s="271">
        <v>0.1</v>
      </c>
      <c r="I1048" s="144"/>
      <c r="J1048" s="144" t="s">
        <v>947</v>
      </c>
      <c r="K1048" s="144"/>
      <c r="L1048" s="135" t="s">
        <v>853</v>
      </c>
    </row>
    <row r="1049" spans="1:12" ht="28.8" x14ac:dyDescent="0.3">
      <c r="A1049" s="266">
        <v>119</v>
      </c>
      <c r="B1049" s="262" t="s">
        <v>943</v>
      </c>
      <c r="C1049" s="262" t="s">
        <v>944</v>
      </c>
      <c r="D1049" s="262" t="s">
        <v>945</v>
      </c>
      <c r="E1049" s="329"/>
      <c r="F1049" s="270" t="s">
        <v>946</v>
      </c>
      <c r="G1049" s="330"/>
      <c r="H1049" s="271">
        <v>0.1</v>
      </c>
      <c r="I1049" s="144"/>
      <c r="J1049" s="144" t="s">
        <v>948</v>
      </c>
      <c r="K1049" s="144"/>
      <c r="L1049" s="135" t="s">
        <v>853</v>
      </c>
    </row>
    <row r="1050" spans="1:12" ht="28.8" x14ac:dyDescent="0.3">
      <c r="A1050" s="266">
        <v>119</v>
      </c>
      <c r="B1050" s="262" t="s">
        <v>943</v>
      </c>
      <c r="C1050" s="262" t="s">
        <v>944</v>
      </c>
      <c r="D1050" s="262" t="s">
        <v>945</v>
      </c>
      <c r="E1050" s="329"/>
      <c r="F1050" s="270" t="s">
        <v>946</v>
      </c>
      <c r="G1050" s="330"/>
      <c r="H1050" s="271">
        <v>0.1</v>
      </c>
      <c r="I1050" s="144"/>
      <c r="J1050" s="144" t="s">
        <v>949</v>
      </c>
      <c r="K1050" s="144"/>
      <c r="L1050" s="135" t="s">
        <v>853</v>
      </c>
    </row>
    <row r="1051" spans="1:12" ht="14.55" customHeight="1" x14ac:dyDescent="0.3">
      <c r="A1051" s="266">
        <v>119</v>
      </c>
      <c r="B1051" s="262" t="s">
        <v>943</v>
      </c>
      <c r="C1051" s="262" t="s">
        <v>944</v>
      </c>
      <c r="D1051" s="262" t="s">
        <v>945</v>
      </c>
      <c r="E1051" s="329" t="s">
        <v>950</v>
      </c>
      <c r="F1051" s="270" t="s">
        <v>950</v>
      </c>
      <c r="G1051" s="330">
        <v>0.2</v>
      </c>
      <c r="H1051" s="271">
        <v>0.1</v>
      </c>
      <c r="I1051" s="144"/>
      <c r="J1051" s="144" t="s">
        <v>951</v>
      </c>
      <c r="K1051" s="144"/>
      <c r="L1051" s="135" t="s">
        <v>853</v>
      </c>
    </row>
    <row r="1052" spans="1:12" ht="28.8" x14ac:dyDescent="0.3">
      <c r="A1052" s="266">
        <v>119</v>
      </c>
      <c r="B1052" s="262" t="s">
        <v>943</v>
      </c>
      <c r="C1052" s="262" t="s">
        <v>944</v>
      </c>
      <c r="D1052" s="262" t="s">
        <v>945</v>
      </c>
      <c r="E1052" s="329"/>
      <c r="F1052" s="270" t="s">
        <v>950</v>
      </c>
      <c r="G1052" s="330"/>
      <c r="H1052" s="271">
        <v>0.05</v>
      </c>
      <c r="I1052" s="144"/>
      <c r="J1052" s="144" t="s">
        <v>952</v>
      </c>
      <c r="K1052" s="144"/>
      <c r="L1052" s="135" t="s">
        <v>853</v>
      </c>
    </row>
    <row r="1053" spans="1:12" ht="28.8" x14ac:dyDescent="0.3">
      <c r="A1053" s="266">
        <v>119</v>
      </c>
      <c r="B1053" s="262" t="s">
        <v>943</v>
      </c>
      <c r="C1053" s="262" t="s">
        <v>944</v>
      </c>
      <c r="D1053" s="262" t="s">
        <v>945</v>
      </c>
      <c r="E1053" s="329"/>
      <c r="F1053" s="270" t="s">
        <v>950</v>
      </c>
      <c r="G1053" s="330"/>
      <c r="H1053" s="271">
        <v>0.05</v>
      </c>
      <c r="I1053" s="144"/>
      <c r="J1053" s="144" t="s">
        <v>953</v>
      </c>
      <c r="K1053" s="144"/>
      <c r="L1053" s="135" t="s">
        <v>853</v>
      </c>
    </row>
    <row r="1054" spans="1:12" ht="14.55" customHeight="1" x14ac:dyDescent="0.3">
      <c r="A1054" s="266">
        <v>119</v>
      </c>
      <c r="B1054" s="262" t="s">
        <v>943</v>
      </c>
      <c r="C1054" s="262" t="s">
        <v>944</v>
      </c>
      <c r="D1054" s="262" t="s">
        <v>945</v>
      </c>
      <c r="E1054" s="329" t="s">
        <v>954</v>
      </c>
      <c r="F1054" s="270" t="s">
        <v>954</v>
      </c>
      <c r="G1054" s="330">
        <v>0.2</v>
      </c>
      <c r="H1054" s="271">
        <v>0.1</v>
      </c>
      <c r="I1054" s="144"/>
      <c r="J1054" s="144" t="s">
        <v>955</v>
      </c>
      <c r="K1054" s="144"/>
      <c r="L1054" s="135" t="s">
        <v>853</v>
      </c>
    </row>
    <row r="1055" spans="1:12" ht="28.8" x14ac:dyDescent="0.3">
      <c r="A1055" s="266">
        <v>119</v>
      </c>
      <c r="B1055" s="262" t="s">
        <v>943</v>
      </c>
      <c r="C1055" s="262" t="s">
        <v>944</v>
      </c>
      <c r="D1055" s="262" t="s">
        <v>945</v>
      </c>
      <c r="E1055" s="329"/>
      <c r="F1055" s="270" t="s">
        <v>954</v>
      </c>
      <c r="G1055" s="330"/>
      <c r="H1055" s="271">
        <v>0.05</v>
      </c>
      <c r="I1055" s="144"/>
      <c r="J1055" s="144" t="s">
        <v>956</v>
      </c>
      <c r="K1055" s="144"/>
      <c r="L1055" s="135" t="s">
        <v>853</v>
      </c>
    </row>
    <row r="1056" spans="1:12" ht="28.8" x14ac:dyDescent="0.3">
      <c r="A1056" s="266">
        <v>119</v>
      </c>
      <c r="B1056" s="262" t="s">
        <v>943</v>
      </c>
      <c r="C1056" s="262" t="s">
        <v>944</v>
      </c>
      <c r="D1056" s="262" t="s">
        <v>945</v>
      </c>
      <c r="E1056" s="329"/>
      <c r="F1056" s="270" t="s">
        <v>954</v>
      </c>
      <c r="G1056" s="330"/>
      <c r="H1056" s="271">
        <v>0.05</v>
      </c>
      <c r="I1056" s="144"/>
      <c r="J1056" s="144" t="s">
        <v>957</v>
      </c>
      <c r="K1056" s="144"/>
      <c r="L1056" s="135" t="s">
        <v>853</v>
      </c>
    </row>
    <row r="1057" spans="1:12" ht="14.55" customHeight="1" x14ac:dyDescent="0.3">
      <c r="A1057" s="266">
        <v>119</v>
      </c>
      <c r="B1057" s="262" t="s">
        <v>943</v>
      </c>
      <c r="C1057" s="262" t="s">
        <v>944</v>
      </c>
      <c r="D1057" s="262" t="s">
        <v>945</v>
      </c>
      <c r="E1057" s="329" t="s">
        <v>958</v>
      </c>
      <c r="F1057" s="270" t="s">
        <v>958</v>
      </c>
      <c r="G1057" s="330">
        <v>0.3</v>
      </c>
      <c r="H1057" s="271">
        <v>0.1</v>
      </c>
      <c r="I1057" s="144"/>
      <c r="J1057" s="144" t="s">
        <v>959</v>
      </c>
      <c r="K1057" s="144"/>
      <c r="L1057" s="135" t="s">
        <v>853</v>
      </c>
    </row>
    <row r="1058" spans="1:12" ht="28.8" x14ac:dyDescent="0.3">
      <c r="A1058" s="266">
        <v>119</v>
      </c>
      <c r="B1058" s="262" t="s">
        <v>943</v>
      </c>
      <c r="C1058" s="262" t="s">
        <v>944</v>
      </c>
      <c r="D1058" s="262" t="s">
        <v>945</v>
      </c>
      <c r="E1058" s="329"/>
      <c r="F1058" s="270" t="s">
        <v>958</v>
      </c>
      <c r="G1058" s="330"/>
      <c r="H1058" s="271">
        <v>0.1</v>
      </c>
      <c r="I1058" s="144"/>
      <c r="J1058" s="144" t="s">
        <v>960</v>
      </c>
      <c r="K1058" s="144"/>
      <c r="L1058" s="135" t="s">
        <v>853</v>
      </c>
    </row>
    <row r="1059" spans="1:12" ht="28.8" x14ac:dyDescent="0.3">
      <c r="A1059" s="266">
        <v>119</v>
      </c>
      <c r="B1059" s="262" t="s">
        <v>943</v>
      </c>
      <c r="C1059" s="262" t="s">
        <v>944</v>
      </c>
      <c r="D1059" s="262" t="s">
        <v>945</v>
      </c>
      <c r="E1059" s="329"/>
      <c r="F1059" s="270" t="s">
        <v>958</v>
      </c>
      <c r="G1059" s="330"/>
      <c r="H1059" s="271">
        <v>0.1</v>
      </c>
      <c r="I1059" s="144"/>
      <c r="J1059" s="144" t="s">
        <v>961</v>
      </c>
      <c r="K1059" s="144"/>
      <c r="L1059" s="135" t="s">
        <v>853</v>
      </c>
    </row>
    <row r="1060" spans="1:12" x14ac:dyDescent="0.3">
      <c r="A1060" s="266">
        <v>120</v>
      </c>
      <c r="B1060" s="262" t="s">
        <v>989</v>
      </c>
      <c r="C1060" s="262" t="s">
        <v>990</v>
      </c>
      <c r="D1060" s="262" t="s">
        <v>992</v>
      </c>
      <c r="E1060" s="144" t="s">
        <v>1063</v>
      </c>
      <c r="F1060" s="144" t="s">
        <v>1063</v>
      </c>
      <c r="G1060" s="144"/>
      <c r="H1060" s="268">
        <v>0.15</v>
      </c>
      <c r="I1060" s="144"/>
      <c r="J1060" s="144" t="s">
        <v>1068</v>
      </c>
      <c r="K1060" s="144"/>
      <c r="L1060" s="225" t="str">
        <f>INDEX([2]Sheet1!$F:$F,MATCH([3]Sheet1!B2,[2]Sheet1!$B:$B,0))</f>
        <v>OLAREWAJU IBRAHEEM</v>
      </c>
    </row>
    <row r="1061" spans="1:12" x14ac:dyDescent="0.3">
      <c r="A1061" s="266">
        <v>120</v>
      </c>
      <c r="B1061" s="262" t="s">
        <v>989</v>
      </c>
      <c r="C1061" s="262" t="s">
        <v>990</v>
      </c>
      <c r="D1061" s="262" t="s">
        <v>992</v>
      </c>
      <c r="E1061" s="144" t="s">
        <v>1063</v>
      </c>
      <c r="F1061" s="144" t="s">
        <v>1063</v>
      </c>
      <c r="G1061" s="144"/>
      <c r="H1061" s="268">
        <v>0.05</v>
      </c>
      <c r="I1061" s="144"/>
      <c r="J1061" s="144" t="s">
        <v>1069</v>
      </c>
      <c r="K1061" s="144"/>
      <c r="L1061" s="225" t="str">
        <f>INDEX([2]Sheet1!$F:$F,MATCH([3]Sheet1!B3,[2]Sheet1!$B:$B,0))</f>
        <v>OLAREWAJU IBRAHEEM</v>
      </c>
    </row>
    <row r="1062" spans="1:12" x14ac:dyDescent="0.3">
      <c r="A1062" s="266">
        <v>120</v>
      </c>
      <c r="B1062" s="262" t="s">
        <v>989</v>
      </c>
      <c r="C1062" s="262" t="s">
        <v>990</v>
      </c>
      <c r="D1062" s="262" t="s">
        <v>992</v>
      </c>
      <c r="E1062" s="144" t="s">
        <v>1063</v>
      </c>
      <c r="F1062" s="144" t="s">
        <v>1063</v>
      </c>
      <c r="G1062" s="144"/>
      <c r="H1062" s="268">
        <v>0.15</v>
      </c>
      <c r="I1062" s="144"/>
      <c r="J1062" s="144" t="s">
        <v>1070</v>
      </c>
      <c r="K1062" s="144"/>
      <c r="L1062" s="225" t="str">
        <f>INDEX([2]Sheet1!$F:$F,MATCH([3]Sheet1!B4,[2]Sheet1!$B:$B,0))</f>
        <v>OLAREWAJU IBRAHEEM</v>
      </c>
    </row>
    <row r="1063" spans="1:12" x14ac:dyDescent="0.3">
      <c r="A1063" s="266">
        <v>120</v>
      </c>
      <c r="B1063" s="262" t="s">
        <v>989</v>
      </c>
      <c r="C1063" s="262" t="s">
        <v>990</v>
      </c>
      <c r="D1063" s="262" t="s">
        <v>992</v>
      </c>
      <c r="E1063" s="144" t="s">
        <v>1064</v>
      </c>
      <c r="F1063" s="144" t="s">
        <v>1064</v>
      </c>
      <c r="G1063" s="144"/>
      <c r="H1063" s="268">
        <v>0.05</v>
      </c>
      <c r="I1063" s="144"/>
      <c r="J1063" s="144" t="s">
        <v>1071</v>
      </c>
      <c r="K1063" s="144"/>
      <c r="L1063" s="225" t="str">
        <f>INDEX([2]Sheet1!$F:$F,MATCH([3]Sheet1!B5,[2]Sheet1!$B:$B,0))</f>
        <v>OLAREWAJU IBRAHEEM</v>
      </c>
    </row>
    <row r="1064" spans="1:12" x14ac:dyDescent="0.3">
      <c r="A1064" s="266">
        <v>120</v>
      </c>
      <c r="B1064" s="262" t="s">
        <v>989</v>
      </c>
      <c r="C1064" s="262" t="s">
        <v>990</v>
      </c>
      <c r="D1064" s="262" t="s">
        <v>992</v>
      </c>
      <c r="E1064" s="172" t="s">
        <v>1064</v>
      </c>
      <c r="F1064" s="172" t="s">
        <v>1064</v>
      </c>
      <c r="G1064" s="144"/>
      <c r="H1064" s="268">
        <v>0.05</v>
      </c>
      <c r="I1064" s="144"/>
      <c r="J1064" s="144" t="s">
        <v>1072</v>
      </c>
      <c r="K1064" s="144"/>
      <c r="L1064" s="225" t="str">
        <f>INDEX([2]Sheet1!$F:$F,MATCH([3]Sheet1!B6,[2]Sheet1!$B:$B,0))</f>
        <v>OLAREWAJU IBRAHEEM</v>
      </c>
    </row>
    <row r="1065" spans="1:12" x14ac:dyDescent="0.3">
      <c r="A1065" s="266">
        <v>120</v>
      </c>
      <c r="B1065" s="262" t="s">
        <v>989</v>
      </c>
      <c r="C1065" s="262" t="s">
        <v>990</v>
      </c>
      <c r="D1065" s="262" t="s">
        <v>992</v>
      </c>
      <c r="E1065" s="172" t="s">
        <v>1064</v>
      </c>
      <c r="F1065" s="172" t="s">
        <v>1064</v>
      </c>
      <c r="G1065" s="144"/>
      <c r="H1065" s="268">
        <v>0.02</v>
      </c>
      <c r="I1065" s="144"/>
      <c r="J1065" s="144" t="s">
        <v>1073</v>
      </c>
      <c r="K1065" s="144"/>
      <c r="L1065" s="225" t="str">
        <f>INDEX([2]Sheet1!$F:$F,MATCH([3]Sheet1!B7,[2]Sheet1!$B:$B,0))</f>
        <v>OLAREWAJU IBRAHEEM</v>
      </c>
    </row>
    <row r="1066" spans="1:12" x14ac:dyDescent="0.3">
      <c r="A1066" s="266">
        <v>120</v>
      </c>
      <c r="B1066" s="262" t="s">
        <v>989</v>
      </c>
      <c r="C1066" s="262" t="s">
        <v>990</v>
      </c>
      <c r="D1066" s="262" t="s">
        <v>992</v>
      </c>
      <c r="E1066" s="172" t="s">
        <v>1064</v>
      </c>
      <c r="F1066" s="172" t="s">
        <v>1064</v>
      </c>
      <c r="G1066" s="144"/>
      <c r="H1066" s="268">
        <v>0.15</v>
      </c>
      <c r="I1066" s="144"/>
      <c r="J1066" s="144" t="s">
        <v>1074</v>
      </c>
      <c r="K1066" s="144"/>
      <c r="L1066" s="225" t="str">
        <f>INDEX([2]Sheet1!$F:$F,MATCH([3]Sheet1!B8,[2]Sheet1!$B:$B,0))</f>
        <v>OLAREWAJU IBRAHEEM</v>
      </c>
    </row>
    <row r="1067" spans="1:12" x14ac:dyDescent="0.3">
      <c r="A1067" s="266">
        <v>120</v>
      </c>
      <c r="B1067" s="262" t="s">
        <v>989</v>
      </c>
      <c r="C1067" s="262" t="s">
        <v>990</v>
      </c>
      <c r="D1067" s="262" t="s">
        <v>992</v>
      </c>
      <c r="E1067" s="144" t="s">
        <v>1065</v>
      </c>
      <c r="F1067" s="144" t="s">
        <v>1065</v>
      </c>
      <c r="G1067" s="144"/>
      <c r="H1067" s="268">
        <v>0.05</v>
      </c>
      <c r="I1067" s="144"/>
      <c r="J1067" s="144" t="s">
        <v>1075</v>
      </c>
      <c r="K1067" s="144"/>
      <c r="L1067" s="225" t="str">
        <f>INDEX([2]Sheet1!$F:$F,MATCH([3]Sheet1!B9,[2]Sheet1!$B:$B,0))</f>
        <v>OLAREWAJU IBRAHEEM</v>
      </c>
    </row>
    <row r="1068" spans="1:12" x14ac:dyDescent="0.3">
      <c r="A1068" s="266">
        <v>120</v>
      </c>
      <c r="B1068" s="262" t="s">
        <v>989</v>
      </c>
      <c r="C1068" s="262" t="s">
        <v>990</v>
      </c>
      <c r="D1068" s="262" t="s">
        <v>992</v>
      </c>
      <c r="E1068" s="144" t="s">
        <v>1065</v>
      </c>
      <c r="F1068" s="144" t="s">
        <v>1065</v>
      </c>
      <c r="G1068" s="144"/>
      <c r="H1068" s="268">
        <v>7.4999999999999997E-2</v>
      </c>
      <c r="I1068" s="144"/>
      <c r="J1068" s="144" t="s">
        <v>1076</v>
      </c>
      <c r="K1068" s="144"/>
      <c r="L1068" s="225" t="str">
        <f>INDEX([2]Sheet1!$F:$F,MATCH([3]Sheet1!B10,[2]Sheet1!$B:$B,0))</f>
        <v>OLAREWAJU IBRAHEEM</v>
      </c>
    </row>
    <row r="1069" spans="1:12" x14ac:dyDescent="0.3">
      <c r="A1069" s="266">
        <v>120</v>
      </c>
      <c r="B1069" s="262" t="s">
        <v>989</v>
      </c>
      <c r="C1069" s="262" t="s">
        <v>990</v>
      </c>
      <c r="D1069" s="262" t="s">
        <v>992</v>
      </c>
      <c r="E1069" s="144" t="s">
        <v>1065</v>
      </c>
      <c r="F1069" s="144" t="s">
        <v>1065</v>
      </c>
      <c r="G1069" s="144"/>
      <c r="H1069" s="268">
        <v>0.04</v>
      </c>
      <c r="I1069" s="144"/>
      <c r="J1069" s="144" t="s">
        <v>1077</v>
      </c>
      <c r="K1069" s="144"/>
      <c r="L1069" s="225" t="str">
        <f>INDEX([2]Sheet1!$F:$F,MATCH([3]Sheet1!B11,[2]Sheet1!$B:$B,0))</f>
        <v>OLAREWAJU IBRAHEEM</v>
      </c>
    </row>
    <row r="1070" spans="1:12" x14ac:dyDescent="0.3">
      <c r="A1070" s="266">
        <v>120</v>
      </c>
      <c r="B1070" s="262" t="s">
        <v>989</v>
      </c>
      <c r="C1070" s="262" t="s">
        <v>990</v>
      </c>
      <c r="D1070" s="262" t="s">
        <v>992</v>
      </c>
      <c r="E1070" s="144" t="s">
        <v>1066</v>
      </c>
      <c r="F1070" s="144" t="s">
        <v>1066</v>
      </c>
      <c r="G1070" s="144"/>
      <c r="H1070" s="268">
        <v>0.04</v>
      </c>
      <c r="I1070" s="144"/>
      <c r="J1070" s="144" t="s">
        <v>1078</v>
      </c>
      <c r="K1070" s="144"/>
      <c r="L1070" s="225" t="str">
        <f>INDEX([2]Sheet1!$F:$F,MATCH([3]Sheet1!B12,[2]Sheet1!$B:$B,0))</f>
        <v>OLAREWAJU IBRAHEEM</v>
      </c>
    </row>
    <row r="1071" spans="1:12" x14ac:dyDescent="0.3">
      <c r="A1071" s="266">
        <v>120</v>
      </c>
      <c r="B1071" s="262" t="s">
        <v>989</v>
      </c>
      <c r="C1071" s="262" t="s">
        <v>990</v>
      </c>
      <c r="D1071" s="262" t="s">
        <v>992</v>
      </c>
      <c r="E1071" s="144" t="s">
        <v>1066</v>
      </c>
      <c r="F1071" s="144" t="s">
        <v>1066</v>
      </c>
      <c r="G1071" s="144"/>
      <c r="H1071" s="268">
        <v>0.05</v>
      </c>
      <c r="I1071" s="144"/>
      <c r="J1071" s="144" t="s">
        <v>1079</v>
      </c>
      <c r="K1071" s="144"/>
      <c r="L1071" s="225" t="str">
        <f>INDEX([2]Sheet1!$F:$F,MATCH([3]Sheet1!B13,[2]Sheet1!$B:$B,0))</f>
        <v>OLAREWAJU IBRAHEEM</v>
      </c>
    </row>
    <row r="1072" spans="1:12" x14ac:dyDescent="0.3">
      <c r="A1072" s="266">
        <v>120</v>
      </c>
      <c r="B1072" s="262" t="s">
        <v>989</v>
      </c>
      <c r="C1072" s="262" t="s">
        <v>990</v>
      </c>
      <c r="D1072" s="262" t="s">
        <v>992</v>
      </c>
      <c r="E1072" s="144" t="s">
        <v>1066</v>
      </c>
      <c r="F1072" s="144" t="s">
        <v>1066</v>
      </c>
      <c r="G1072" s="144"/>
      <c r="H1072" s="268">
        <v>0.05</v>
      </c>
      <c r="I1072" s="144"/>
      <c r="J1072" s="144" t="s">
        <v>1080</v>
      </c>
      <c r="K1072" s="144"/>
      <c r="L1072" s="225" t="str">
        <f>INDEX([2]Sheet1!$F:$F,MATCH([3]Sheet1!B14,[2]Sheet1!$B:$B,0))</f>
        <v>OLAREWAJU IBRAHEEM</v>
      </c>
    </row>
    <row r="1073" spans="1:12" x14ac:dyDescent="0.3">
      <c r="A1073" s="266">
        <v>120</v>
      </c>
      <c r="B1073" s="262" t="s">
        <v>989</v>
      </c>
      <c r="C1073" s="262" t="s">
        <v>990</v>
      </c>
      <c r="D1073" s="262" t="s">
        <v>992</v>
      </c>
      <c r="E1073" s="144" t="s">
        <v>1067</v>
      </c>
      <c r="F1073" s="144" t="s">
        <v>1067</v>
      </c>
      <c r="G1073" s="144"/>
      <c r="H1073" s="268">
        <v>7.4999999999999997E-2</v>
      </c>
      <c r="I1073" s="144"/>
      <c r="J1073" s="144" t="s">
        <v>1081</v>
      </c>
      <c r="K1073" s="144"/>
      <c r="L1073" s="225" t="str">
        <f>INDEX([2]Sheet1!$F:$F,MATCH([3]Sheet1!B15,[2]Sheet1!$B:$B,0))</f>
        <v>OLAREWAJU IBRAHEEM</v>
      </c>
    </row>
  </sheetData>
  <sheetProtection algorithmName="SHA-512" hashValue="uOGFbjeNkPbYGICt3piA2LEdVZ0t2n7ji80RWEM7UipTJs4sxwR+rWtrqtMZdxQOjUBryoS2bQ9MeFSx3hJFAw==" saltValue="yhNsujUhl8DDeLoDKuQLHA==" spinCount="100000" sheet="1" objects="1" scenarios="1"/>
  <protectedRanges>
    <protectedRange algorithmName="SHA-512" hashValue="EzIqsw7Fws1J7+SCeMwj0vSmSbItMh0nVvj33dAxtKzlLgcsjNCmcGiGRYEH6+fsT1WvyvNNd339O7LB/0gjFw==" saltValue="oyY7vqoee4T13wEbyPRpSg==" spinCount="100000" sqref="J606 E606:F606" name="NARRATION AND WEIGHT_1_7_1"/>
    <protectedRange algorithmName="SHA-512" hashValue="EzIqsw7Fws1J7+SCeMwj0vSmSbItMh0nVvj33dAxtKzlLgcsjNCmcGiGRYEH6+fsT1WvyvNNd339O7LB/0gjFw==" saltValue="oyY7vqoee4T13wEbyPRpSg==" spinCount="100000" sqref="G578:H578 G592:H592 G613:H613 G616:H616" name="NARRATION AND WEIGHT_1_8_1"/>
    <protectedRange algorithmName="SHA-512" hashValue="EzIqsw7Fws1J7+SCeMwj0vSmSbItMh0nVvj33dAxtKzlLgcsjNCmcGiGRYEH6+fsT1WvyvNNd339O7LB/0gjFw==" saltValue="oyY7vqoee4T13wEbyPRpSg==" spinCount="100000" sqref="G584:H589" name="NARRATION AND WEIGHT_1_10_6"/>
    <protectedRange algorithmName="SHA-512" hashValue="EzIqsw7Fws1J7+SCeMwj0vSmSbItMh0nVvj33dAxtKzlLgcsjNCmcGiGRYEH6+fsT1WvyvNNd339O7LB/0gjFw==" saltValue="oyY7vqoee4T13wEbyPRpSg==" spinCount="100000" sqref="G890" name="NARRATION AND WEIGHT_1_14_1"/>
    <protectedRange algorithmName="SHA-512" hashValue="EzIqsw7Fws1J7+SCeMwj0vSmSbItMh0nVvj33dAxtKzlLgcsjNCmcGiGRYEH6+fsT1WvyvNNd339O7LB/0gjFw==" saltValue="oyY7vqoee4T13wEbyPRpSg==" spinCount="100000" sqref="G871:H873 G877" name="NARRATION AND WEIGHT_1_10_1_1"/>
    <protectedRange algorithmName="SHA-512" hashValue="EzIqsw7Fws1J7+SCeMwj0vSmSbItMh0nVvj33dAxtKzlLgcsjNCmcGiGRYEH6+fsT1WvyvNNd339O7LB/0gjFw==" saltValue="oyY7vqoee4T13wEbyPRpSg==" spinCount="100000" sqref="J853 E853:G853" name="NARRATION AND WEIGHT_1_11_1_1"/>
    <protectedRange algorithmName="SHA-512" hashValue="EzIqsw7Fws1J7+SCeMwj0vSmSbItMh0nVvj33dAxtKzlLgcsjNCmcGiGRYEH6+fsT1WvyvNNd339O7LB/0gjFw==" saltValue="oyY7vqoee4T13wEbyPRpSg==" spinCount="100000" sqref="G847:G848" name="NARRATION AND WEIGHT_1_10_2_1"/>
    <protectedRange algorithmName="SHA-512" hashValue="EzIqsw7Fws1J7+SCeMwj0vSmSbItMh0nVvj33dAxtKzlLgcsjNCmcGiGRYEH6+fsT1WvyvNNd339O7LB/0gjFw==" saltValue="oyY7vqoee4T13wEbyPRpSg==" spinCount="100000" sqref="J878 E878:G878" name="NARRATION AND WEIGHT_1_11_2_1"/>
    <protectedRange algorithmName="SHA-512" hashValue="EzIqsw7Fws1J7+SCeMwj0vSmSbItMh0nVvj33dAxtKzlLgcsjNCmcGiGRYEH6+fsT1WvyvNNd339O7LB/0gjFw==" saltValue="oyY7vqoee4T13wEbyPRpSg==" spinCount="100000" sqref="G879" name="NARRATION AND WEIGHT_1_12_1_1"/>
    <protectedRange algorithmName="SHA-512" hashValue="EzIqsw7Fws1J7+SCeMwj0vSmSbItMh0nVvj33dAxtKzlLgcsjNCmcGiGRYEH6+fsT1WvyvNNd339O7LB/0gjFw==" saltValue="oyY7vqoee4T13wEbyPRpSg==" spinCount="100000" sqref="G884" name="NARRATION AND WEIGHT_1_10_3_1"/>
    <protectedRange algorithmName="SHA-512" hashValue="EzIqsw7Fws1J7+SCeMwj0vSmSbItMh0nVvj33dAxtKzlLgcsjNCmcGiGRYEH6+fsT1WvyvNNd339O7LB/0gjFw==" saltValue="oyY7vqoee4T13wEbyPRpSg==" spinCount="100000" sqref="J857:J859 E857:G859" name="NARRATION AND WEIGHT_1_16_1_1"/>
    <protectedRange algorithmName="SHA-512" hashValue="EzIqsw7Fws1J7+SCeMwj0vSmSbItMh0nVvj33dAxtKzlLgcsjNCmcGiGRYEH6+fsT1WvyvNNd339O7LB/0gjFw==" saltValue="oyY7vqoee4T13wEbyPRpSg==" spinCount="100000" sqref="G856 G860" name="NARRATION AND WEIGHT_1_12_2_1"/>
    <protectedRange algorithmName="SHA-512" hashValue="EzIqsw7Fws1J7+SCeMwj0vSmSbItMh0nVvj33dAxtKzlLgcsjNCmcGiGRYEH6+fsT1WvyvNNd339O7LB/0gjFw==" saltValue="oyY7vqoee4T13wEbyPRpSg==" spinCount="100000" sqref="G854:G855" name="NARRATION AND WEIGHT_1_10_4_1"/>
    <protectedRange algorithmName="SHA-512" hashValue="EzIqsw7Fws1J7+SCeMwj0vSmSbItMh0nVvj33dAxtKzlLgcsjNCmcGiGRYEH6+fsT1WvyvNNd339O7LB/0gjFw==" saltValue="oyY7vqoee4T13wEbyPRpSg==" spinCount="100000" sqref="G863:G865" name="NARRATION AND WEIGHT_1_12_3_1"/>
    <protectedRange algorithmName="SHA-512" hashValue="EzIqsw7Fws1J7+SCeMwj0vSmSbItMh0nVvj33dAxtKzlLgcsjNCmcGiGRYEH6+fsT1WvyvNNd339O7LB/0gjFw==" saltValue="oyY7vqoee4T13wEbyPRpSg==" spinCount="100000" sqref="G861:G862" name="NARRATION AND WEIGHT_1_10_5_1"/>
    <protectedRange algorithmName="SHA-512" hashValue="EzIqsw7Fws1J7+SCeMwj0vSmSbItMh0nVvj33dAxtKzlLgcsjNCmcGiGRYEH6+fsT1WvyvNNd339O7LB/0gjFw==" saltValue="oyY7vqoee4T13wEbyPRpSg==" spinCount="100000" sqref="G896 G923 G930 G937" name="NARRATION AND WEIGHT_1_14_5"/>
    <protectedRange algorithmName="SHA-512" hashValue="EzIqsw7Fws1J7+SCeMwj0vSmSbItMh0nVvj33dAxtKzlLgcsjNCmcGiGRYEH6+fsT1WvyvNNd339O7LB/0gjFw==" saltValue="oyY7vqoee4T13wEbyPRpSg==" spinCount="100000" sqref="J897 J924 J931 J938 E897:G897 E924:G924 E931:G931 E938:G938" name="NARRATION AND WEIGHT_1_16_5"/>
    <protectedRange algorithmName="SHA-512" hashValue="EzIqsw7Fws1J7+SCeMwj0vSmSbItMh0nVvj33dAxtKzlLgcsjNCmcGiGRYEH6+fsT1WvyvNNd339O7LB/0gjFw==" saltValue="oyY7vqoee4T13wEbyPRpSg==" spinCount="100000" sqref="J898 J925 J932 J939 E898:G898 E925:G925 E932:G932 E939:G939" name="NARRATION AND WEIGHT_1_16_2_1_1_4"/>
    <protectedRange algorithmName="SHA-512" hashValue="EzIqsw7Fws1J7+SCeMwj0vSmSbItMh0nVvj33dAxtKzlLgcsjNCmcGiGRYEH6+fsT1WvyvNNd339O7LB/0gjFw==" saltValue="oyY7vqoee4T13wEbyPRpSg==" spinCount="100000" sqref="G968 G974 G980 G986" name="NARRATION AND WEIGHT_1_14_6"/>
    <protectedRange algorithmName="SHA-512" hashValue="EzIqsw7Fws1J7+SCeMwj0vSmSbItMh0nVvj33dAxtKzlLgcsjNCmcGiGRYEH6+fsT1WvyvNNd339O7LB/0gjFw==" saltValue="oyY7vqoee4T13wEbyPRpSg==" spinCount="100000" sqref="J969 J975 J981 J987 E969:G969 E975:G975 E981:G981 E987:G987" name="NARRATION AND WEIGHT_1_16_2_1"/>
    <protectedRange algorithmName="SHA-512" hashValue="EzIqsw7Fws1J7+SCeMwj0vSmSbItMh0nVvj33dAxtKzlLgcsjNCmcGiGRYEH6+fsT1WvyvNNd339O7LB/0gjFw==" saltValue="oyY7vqoee4T13wEbyPRpSg==" spinCount="100000" sqref="J948:J949 E948:G949" name="NARRATION AND WEIGHT_1_16_6"/>
    <protectedRange algorithmName="SHA-512" hashValue="EzIqsw7Fws1J7+SCeMwj0vSmSbItMh0nVvj33dAxtKzlLgcsjNCmcGiGRYEH6+fsT1WvyvNNd339O7LB/0gjFw==" saltValue="oyY7vqoee4T13wEbyPRpSg==" spinCount="100000" sqref="J950 E950:G950" name="NARRATION AND WEIGHT_1_16_1_1_5"/>
    <protectedRange algorithmName="SHA-512" hashValue="EzIqsw7Fws1J7+SCeMwj0vSmSbItMh0nVvj33dAxtKzlLgcsjNCmcGiGRYEH6+fsT1WvyvNNd339O7LB/0gjFw==" saltValue="oyY7vqoee4T13wEbyPRpSg==" spinCount="100000" sqref="G951:H951" name="NARRATION AND WEIGHT_1_10_2_1_2"/>
    <protectedRange algorithmName="SHA-512" hashValue="EzIqsw7Fws1J7+SCeMwj0vSmSbItMh0nVvj33dAxtKzlLgcsjNCmcGiGRYEH6+fsT1WvyvNNd339O7LB/0gjFw==" saltValue="oyY7vqoee4T13wEbyPRpSg==" spinCount="100000" sqref="J960:J961 E960:G961" name="NARRATION AND WEIGHT_1_16_7"/>
    <protectedRange algorithmName="SHA-512" hashValue="EzIqsw7Fws1J7+SCeMwj0vSmSbItMh0nVvj33dAxtKzlLgcsjNCmcGiGRYEH6+fsT1WvyvNNd339O7LB/0gjFw==" saltValue="oyY7vqoee4T13wEbyPRpSg==" spinCount="100000" sqref="J962 E962:G962" name="NARRATION AND WEIGHT_1_16_1_1_6"/>
    <protectedRange algorithmName="SHA-512" hashValue="EzIqsw7Fws1J7+SCeMwj0vSmSbItMh0nVvj33dAxtKzlLgcsjNCmcGiGRYEH6+fsT1WvyvNNd339O7LB/0gjFw==" saltValue="oyY7vqoee4T13wEbyPRpSg==" spinCount="100000" sqref="G963:H963" name="NARRATION AND WEIGHT_1_10_2_2"/>
    <protectedRange algorithmName="SHA-512" hashValue="EzIqsw7Fws1J7+SCeMwj0vSmSbItMh0nVvj33dAxtKzlLgcsjNCmcGiGRYEH6+fsT1WvyvNNd339O7LB/0gjFw==" saltValue="oyY7vqoee4T13wEbyPRpSg==" spinCount="100000" sqref="J942:J943 E942:G943" name="NARRATION AND WEIGHT_1_16_8"/>
    <protectedRange algorithmName="SHA-512" hashValue="EzIqsw7Fws1J7+SCeMwj0vSmSbItMh0nVvj33dAxtKzlLgcsjNCmcGiGRYEH6+fsT1WvyvNNd339O7LB/0gjFw==" saltValue="oyY7vqoee4T13wEbyPRpSg==" spinCount="100000" sqref="J944 E944:G944" name="NARRATION AND WEIGHT_1_16_1_1_7"/>
    <protectedRange algorithmName="SHA-512" hashValue="EzIqsw7Fws1J7+SCeMwj0vSmSbItMh0nVvj33dAxtKzlLgcsjNCmcGiGRYEH6+fsT1WvyvNNd339O7LB/0gjFw==" saltValue="oyY7vqoee4T13wEbyPRpSg==" spinCount="100000" sqref="G945:H945" name="NARRATION AND WEIGHT_1_10_2_3"/>
    <protectedRange algorithmName="SHA-512" hashValue="EzIqsw7Fws1J7+SCeMwj0vSmSbItMh0nVvj33dAxtKzlLgcsjNCmcGiGRYEH6+fsT1WvyvNNd339O7LB/0gjFw==" saltValue="oyY7vqoee4T13wEbyPRpSg==" spinCount="100000" sqref="J954:J955 E954:G955" name="NARRATION AND WEIGHT_1_16_9"/>
    <protectedRange algorithmName="SHA-512" hashValue="EzIqsw7Fws1J7+SCeMwj0vSmSbItMh0nVvj33dAxtKzlLgcsjNCmcGiGRYEH6+fsT1WvyvNNd339O7LB/0gjFw==" saltValue="oyY7vqoee4T13wEbyPRpSg==" spinCount="100000" sqref="J956 E956:G956" name="NARRATION AND WEIGHT_1_16_1_1_8"/>
    <protectedRange algorithmName="SHA-512" hashValue="EzIqsw7Fws1J7+SCeMwj0vSmSbItMh0nVvj33dAxtKzlLgcsjNCmcGiGRYEH6+fsT1WvyvNNd339O7LB/0gjFw==" saltValue="oyY7vqoee4T13wEbyPRpSg==" spinCount="100000" sqref="G957:H957" name="NARRATION AND WEIGHT_1_10_2_4"/>
    <protectedRange algorithmName="SHA-512" hashValue="EzIqsw7Fws1J7+SCeMwj0vSmSbItMh0nVvj33dAxtKzlLgcsjNCmcGiGRYEH6+fsT1WvyvNNd339O7LB/0gjFw==" saltValue="oyY7vqoee4T13wEbyPRpSg==" spinCount="100000" sqref="G902 G907" name="NARRATION AND WEIGHT_1_12"/>
    <protectedRange algorithmName="SHA-512" hashValue="EzIqsw7Fws1J7+SCeMwj0vSmSbItMh0nVvj33dAxtKzlLgcsjNCmcGiGRYEH6+fsT1WvyvNNd339O7LB/0gjFw==" saltValue="oyY7vqoee4T13wEbyPRpSg==" spinCount="100000" sqref="G903 J903 G908 J908" name="NARRATION AND WEIGHT_1_16_1_2"/>
    <protectedRange algorithmName="SHA-512" hashValue="EzIqsw7Fws1J7+SCeMwj0vSmSbItMh0nVvj33dAxtKzlLgcsjNCmcGiGRYEH6+fsT1WvyvNNd339O7LB/0gjFw==" saltValue="oyY7vqoee4T13wEbyPRpSg==" spinCount="100000" sqref="E903:F903 E908:F908" name="NARRATION AND WEIGHT_1_16_1_2_1"/>
    <protectedRange algorithmName="SHA-512" hashValue="EzIqsw7Fws1J7+SCeMwj0vSmSbItMh0nVvj33dAxtKzlLgcsjNCmcGiGRYEH6+fsT1WvyvNNd339O7LB/0gjFw==" saltValue="oyY7vqoee4T13wEbyPRpSg==" spinCount="100000" sqref="G917" name="NARRATION AND WEIGHT_1_12_4"/>
    <protectedRange algorithmName="SHA-512" hashValue="EzIqsw7Fws1J7+SCeMwj0vSmSbItMh0nVvj33dAxtKzlLgcsjNCmcGiGRYEH6+fsT1WvyvNNd339O7LB/0gjFw==" saltValue="oyY7vqoee4T13wEbyPRpSg==" spinCount="100000" sqref="G918 J918" name="NARRATION AND WEIGHT_1_16_1_3"/>
    <protectedRange algorithmName="SHA-512" hashValue="EzIqsw7Fws1J7+SCeMwj0vSmSbItMh0nVvj33dAxtKzlLgcsjNCmcGiGRYEH6+fsT1WvyvNNd339O7LB/0gjFw==" saltValue="oyY7vqoee4T13wEbyPRpSg==" spinCount="100000" sqref="E918:F918" name="NARRATION AND WEIGHT_1_16_1_2_2"/>
    <protectedRange algorithmName="SHA-512" hashValue="EzIqsw7Fws1J7+SCeMwj0vSmSbItMh0nVvj33dAxtKzlLgcsjNCmcGiGRYEH6+fsT1WvyvNNd339O7LB/0gjFw==" saltValue="oyY7vqoee4T13wEbyPRpSg==" spinCount="100000" sqref="G912" name="NARRATION AND WEIGHT_1_12_6"/>
    <protectedRange algorithmName="SHA-512" hashValue="EzIqsw7Fws1J7+SCeMwj0vSmSbItMh0nVvj33dAxtKzlLgcsjNCmcGiGRYEH6+fsT1WvyvNNd339O7LB/0gjFw==" saltValue="oyY7vqoee4T13wEbyPRpSg==" spinCount="100000" sqref="G913 J913" name="NARRATION AND WEIGHT_1_16_1_5"/>
    <protectedRange algorithmName="SHA-512" hashValue="EzIqsw7Fws1J7+SCeMwj0vSmSbItMh0nVvj33dAxtKzlLgcsjNCmcGiGRYEH6+fsT1WvyvNNd339O7LB/0gjFw==" saltValue="oyY7vqoee4T13wEbyPRpSg==" spinCount="100000" sqref="E913:F913" name="NARRATION AND WEIGHT_1_16_1_2_4"/>
    <protectedRange algorithmName="SHA-512" hashValue="EzIqsw7Fws1J7+SCeMwj0vSmSbItMh0nVvj33dAxtKzlLgcsjNCmcGiGRYEH6+fsT1WvyvNNd339O7LB/0gjFw==" saltValue="oyY7vqoee4T13wEbyPRpSg==" spinCount="100000" sqref="J989:J990 E988:F990 G990:G991" name="NARRATION AND WEIGHT_1_16_10"/>
  </protectedRanges>
  <mergeCells count="349">
    <mergeCell ref="E1054:E1056"/>
    <mergeCell ref="G1054:G1056"/>
    <mergeCell ref="E1057:E1059"/>
    <mergeCell ref="G1057:G1059"/>
    <mergeCell ref="E1046:E1047"/>
    <mergeCell ref="G1046:G1047"/>
    <mergeCell ref="E1048:E1050"/>
    <mergeCell ref="G1048:G1050"/>
    <mergeCell ref="E1051:E1053"/>
    <mergeCell ref="G1051:G1053"/>
    <mergeCell ref="E1039:E1040"/>
    <mergeCell ref="G1039:G1040"/>
    <mergeCell ref="E1041:E1043"/>
    <mergeCell ref="G1041:G1043"/>
    <mergeCell ref="E1044:E1045"/>
    <mergeCell ref="G1044:G1045"/>
    <mergeCell ref="E1032:E1033"/>
    <mergeCell ref="G1032:G1033"/>
    <mergeCell ref="E1034:E1035"/>
    <mergeCell ref="G1034:G1035"/>
    <mergeCell ref="E1036:E1038"/>
    <mergeCell ref="G1036:G1038"/>
    <mergeCell ref="E1021:E1023"/>
    <mergeCell ref="G1021:G1023"/>
    <mergeCell ref="E1024:E1028"/>
    <mergeCell ref="G1024:G1028"/>
    <mergeCell ref="E1029:E1031"/>
    <mergeCell ref="G1029:G1031"/>
    <mergeCell ref="E1012:E1014"/>
    <mergeCell ref="G1012:G1014"/>
    <mergeCell ref="E1015:E1018"/>
    <mergeCell ref="G1015:G1018"/>
    <mergeCell ref="E1019:E1020"/>
    <mergeCell ref="G1019:G1020"/>
    <mergeCell ref="E1003:E1005"/>
    <mergeCell ref="G1003:G1005"/>
    <mergeCell ref="E1006:E1008"/>
    <mergeCell ref="G1006:G1008"/>
    <mergeCell ref="E1009:E1011"/>
    <mergeCell ref="G1009:G1011"/>
    <mergeCell ref="G569:G573"/>
    <mergeCell ref="E992:E995"/>
    <mergeCell ref="G992:G995"/>
    <mergeCell ref="E996:E998"/>
    <mergeCell ref="G996:G998"/>
    <mergeCell ref="E999:E1002"/>
    <mergeCell ref="G999:G1002"/>
    <mergeCell ref="G540:G544"/>
    <mergeCell ref="G546:G547"/>
    <mergeCell ref="G548:G550"/>
    <mergeCell ref="G551:G553"/>
    <mergeCell ref="G555:G556"/>
    <mergeCell ref="G558:G562"/>
    <mergeCell ref="E527:E528"/>
    <mergeCell ref="G527:G528"/>
    <mergeCell ref="E530:E535"/>
    <mergeCell ref="G530:G535"/>
    <mergeCell ref="E536:E538"/>
    <mergeCell ref="G536:G538"/>
    <mergeCell ref="E515:E517"/>
    <mergeCell ref="G515:G517"/>
    <mergeCell ref="E518:E523"/>
    <mergeCell ref="G518:G523"/>
    <mergeCell ref="E524:E526"/>
    <mergeCell ref="G524:G526"/>
    <mergeCell ref="E504:E509"/>
    <mergeCell ref="G504:G509"/>
    <mergeCell ref="E510:E511"/>
    <mergeCell ref="G510:G511"/>
    <mergeCell ref="E512:E514"/>
    <mergeCell ref="G512:G514"/>
    <mergeCell ref="E482:E483"/>
    <mergeCell ref="G482:G483"/>
    <mergeCell ref="E492:E493"/>
    <mergeCell ref="G492:G493"/>
    <mergeCell ref="E494:E495"/>
    <mergeCell ref="G494:G495"/>
    <mergeCell ref="E466:E467"/>
    <mergeCell ref="G466:G467"/>
    <mergeCell ref="E477:E478"/>
    <mergeCell ref="G477:G478"/>
    <mergeCell ref="E479:E480"/>
    <mergeCell ref="G479:G480"/>
    <mergeCell ref="E442:E443"/>
    <mergeCell ref="G442:G443"/>
    <mergeCell ref="E451:E452"/>
    <mergeCell ref="G451:G452"/>
    <mergeCell ref="E459:E460"/>
    <mergeCell ref="G459:G460"/>
    <mergeCell ref="E427:E428"/>
    <mergeCell ref="G427:G428"/>
    <mergeCell ref="E437:E438"/>
    <mergeCell ref="G437:G438"/>
    <mergeCell ref="E439:E440"/>
    <mergeCell ref="G439:G440"/>
    <mergeCell ref="E419:E420"/>
    <mergeCell ref="G419:G420"/>
    <mergeCell ref="E421:E422"/>
    <mergeCell ref="G421:G422"/>
    <mergeCell ref="E424:E426"/>
    <mergeCell ref="G424:G426"/>
    <mergeCell ref="E401:E402"/>
    <mergeCell ref="G401:G402"/>
    <mergeCell ref="E411:E412"/>
    <mergeCell ref="G411:G412"/>
    <mergeCell ref="E413:E414"/>
    <mergeCell ref="G413:G414"/>
    <mergeCell ref="E392:E393"/>
    <mergeCell ref="G392:G393"/>
    <mergeCell ref="E394:E395"/>
    <mergeCell ref="G394:G395"/>
    <mergeCell ref="E397:E400"/>
    <mergeCell ref="G397:G400"/>
    <mergeCell ref="E386:E387"/>
    <mergeCell ref="G386:G387"/>
    <mergeCell ref="E388:E389"/>
    <mergeCell ref="G388:G389"/>
    <mergeCell ref="E390:E391"/>
    <mergeCell ref="G390:G391"/>
    <mergeCell ref="E362:E363"/>
    <mergeCell ref="G362:G363"/>
    <mergeCell ref="E375:E376"/>
    <mergeCell ref="G375:G376"/>
    <mergeCell ref="E378:E379"/>
    <mergeCell ref="G378:G379"/>
    <mergeCell ref="E351:E352"/>
    <mergeCell ref="G351:G352"/>
    <mergeCell ref="E353:E355"/>
    <mergeCell ref="G353:G355"/>
    <mergeCell ref="E356:E359"/>
    <mergeCell ref="G356:G359"/>
    <mergeCell ref="E342:E345"/>
    <mergeCell ref="G342:G345"/>
    <mergeCell ref="E346:E347"/>
    <mergeCell ref="G346:G347"/>
    <mergeCell ref="E349:E350"/>
    <mergeCell ref="G349:G350"/>
    <mergeCell ref="G329:G330"/>
    <mergeCell ref="E334:E335"/>
    <mergeCell ref="G334:G335"/>
    <mergeCell ref="E336:E339"/>
    <mergeCell ref="G336:G339"/>
    <mergeCell ref="E340:E341"/>
    <mergeCell ref="G340:G341"/>
    <mergeCell ref="E321:E322"/>
    <mergeCell ref="G321:G322"/>
    <mergeCell ref="E323:E325"/>
    <mergeCell ref="G323:G325"/>
    <mergeCell ref="E327:E328"/>
    <mergeCell ref="G327:G328"/>
    <mergeCell ref="E312:E314"/>
    <mergeCell ref="G312:G314"/>
    <mergeCell ref="E315:E317"/>
    <mergeCell ref="G315:G317"/>
    <mergeCell ref="E318:E320"/>
    <mergeCell ref="G318:G320"/>
    <mergeCell ref="E302:E305"/>
    <mergeCell ref="G302:G305"/>
    <mergeCell ref="E307:E309"/>
    <mergeCell ref="G307:G309"/>
    <mergeCell ref="E310:E311"/>
    <mergeCell ref="G310:G311"/>
    <mergeCell ref="E293:E295"/>
    <mergeCell ref="G293:G295"/>
    <mergeCell ref="E296:E297"/>
    <mergeCell ref="G296:G297"/>
    <mergeCell ref="E298:E301"/>
    <mergeCell ref="G298:G301"/>
    <mergeCell ref="E282:E284"/>
    <mergeCell ref="G282:G284"/>
    <mergeCell ref="E285:E288"/>
    <mergeCell ref="G285:G288"/>
    <mergeCell ref="E289:E292"/>
    <mergeCell ref="G289:G292"/>
    <mergeCell ref="E270:E273"/>
    <mergeCell ref="G270:G273"/>
    <mergeCell ref="E274:E277"/>
    <mergeCell ref="G274:G277"/>
    <mergeCell ref="E278:E281"/>
    <mergeCell ref="G278:G281"/>
    <mergeCell ref="E262:E264"/>
    <mergeCell ref="G262:G264"/>
    <mergeCell ref="E265:E266"/>
    <mergeCell ref="G265:G266"/>
    <mergeCell ref="E267:E269"/>
    <mergeCell ref="G267:G269"/>
    <mergeCell ref="E255:E257"/>
    <mergeCell ref="G255:G257"/>
    <mergeCell ref="E258:E259"/>
    <mergeCell ref="G258:G259"/>
    <mergeCell ref="E260:E261"/>
    <mergeCell ref="G260:G261"/>
    <mergeCell ref="E246:E248"/>
    <mergeCell ref="G246:G248"/>
    <mergeCell ref="E249:E252"/>
    <mergeCell ref="G249:G252"/>
    <mergeCell ref="E253:E254"/>
    <mergeCell ref="G253:G254"/>
    <mergeCell ref="E232:E236"/>
    <mergeCell ref="G232:G236"/>
    <mergeCell ref="E237:E241"/>
    <mergeCell ref="G237:G241"/>
    <mergeCell ref="E242:E245"/>
    <mergeCell ref="G242:G245"/>
    <mergeCell ref="E224:E226"/>
    <mergeCell ref="G224:G226"/>
    <mergeCell ref="E227:E229"/>
    <mergeCell ref="G227:G229"/>
    <mergeCell ref="E230:E231"/>
    <mergeCell ref="G230:G231"/>
    <mergeCell ref="E215:E216"/>
    <mergeCell ref="G215:G216"/>
    <mergeCell ref="E217:E220"/>
    <mergeCell ref="G217:G220"/>
    <mergeCell ref="E221:E223"/>
    <mergeCell ref="G221:G223"/>
    <mergeCell ref="E206:E209"/>
    <mergeCell ref="G206:G209"/>
    <mergeCell ref="E210:E212"/>
    <mergeCell ref="G210:G212"/>
    <mergeCell ref="E213:E214"/>
    <mergeCell ref="G213:G214"/>
    <mergeCell ref="E195:E198"/>
    <mergeCell ref="G195:G198"/>
    <mergeCell ref="E199:E200"/>
    <mergeCell ref="G199:G200"/>
    <mergeCell ref="E201:E205"/>
    <mergeCell ref="G201:G205"/>
    <mergeCell ref="E187:E188"/>
    <mergeCell ref="G187:G188"/>
    <mergeCell ref="E189:E191"/>
    <mergeCell ref="G189:G191"/>
    <mergeCell ref="E192:E194"/>
    <mergeCell ref="G192:G194"/>
    <mergeCell ref="E173:E177"/>
    <mergeCell ref="G173:G177"/>
    <mergeCell ref="E178:E181"/>
    <mergeCell ref="G178:G181"/>
    <mergeCell ref="E182:E186"/>
    <mergeCell ref="G182:G186"/>
    <mergeCell ref="E158:E161"/>
    <mergeCell ref="G158:G161"/>
    <mergeCell ref="E164:E167"/>
    <mergeCell ref="G164:G167"/>
    <mergeCell ref="E168:E172"/>
    <mergeCell ref="G168:G172"/>
    <mergeCell ref="E147:E148"/>
    <mergeCell ref="E150:E152"/>
    <mergeCell ref="G150:G152"/>
    <mergeCell ref="E153:E155"/>
    <mergeCell ref="G153:G155"/>
    <mergeCell ref="E156:E157"/>
    <mergeCell ref="G156:G157"/>
    <mergeCell ref="E135:E138"/>
    <mergeCell ref="G135:G138"/>
    <mergeCell ref="E140:E142"/>
    <mergeCell ref="G140:G142"/>
    <mergeCell ref="E143:E146"/>
    <mergeCell ref="G143:G146"/>
    <mergeCell ref="E128:E129"/>
    <mergeCell ref="G128:G129"/>
    <mergeCell ref="E130:E131"/>
    <mergeCell ref="G130:G131"/>
    <mergeCell ref="E132:E134"/>
    <mergeCell ref="G132:G134"/>
    <mergeCell ref="E119:E120"/>
    <mergeCell ref="G119:G120"/>
    <mergeCell ref="E121:E123"/>
    <mergeCell ref="G121:G123"/>
    <mergeCell ref="E124:E127"/>
    <mergeCell ref="G124:G127"/>
    <mergeCell ref="E110:E111"/>
    <mergeCell ref="G110:G111"/>
    <mergeCell ref="E112:E115"/>
    <mergeCell ref="G112:G115"/>
    <mergeCell ref="E116:E118"/>
    <mergeCell ref="G116:G118"/>
    <mergeCell ref="E102:E103"/>
    <mergeCell ref="G102:G103"/>
    <mergeCell ref="E104:E105"/>
    <mergeCell ref="G104:G105"/>
    <mergeCell ref="E106:E109"/>
    <mergeCell ref="G106:G109"/>
    <mergeCell ref="E92:E93"/>
    <mergeCell ref="G92:G93"/>
    <mergeCell ref="E94:E98"/>
    <mergeCell ref="G94:G98"/>
    <mergeCell ref="E99:E101"/>
    <mergeCell ref="G99:G101"/>
    <mergeCell ref="E83:E84"/>
    <mergeCell ref="G83:G84"/>
    <mergeCell ref="E85:E87"/>
    <mergeCell ref="G85:G87"/>
    <mergeCell ref="E88:E91"/>
    <mergeCell ref="G88:G91"/>
    <mergeCell ref="E74:E75"/>
    <mergeCell ref="G74:G75"/>
    <mergeCell ref="E76:E79"/>
    <mergeCell ref="G76:G79"/>
    <mergeCell ref="E80:E82"/>
    <mergeCell ref="G80:G82"/>
    <mergeCell ref="E65:E66"/>
    <mergeCell ref="G65:G66"/>
    <mergeCell ref="E67:E69"/>
    <mergeCell ref="G67:G69"/>
    <mergeCell ref="E70:E73"/>
    <mergeCell ref="G70:G73"/>
    <mergeCell ref="E55:E56"/>
    <mergeCell ref="G55:G56"/>
    <mergeCell ref="E57:E61"/>
    <mergeCell ref="G57:G61"/>
    <mergeCell ref="E62:E64"/>
    <mergeCell ref="G62:G64"/>
    <mergeCell ref="E46:E47"/>
    <mergeCell ref="G46:G47"/>
    <mergeCell ref="E48:E50"/>
    <mergeCell ref="G48:G50"/>
    <mergeCell ref="E51:E54"/>
    <mergeCell ref="G51:G54"/>
    <mergeCell ref="E37:E38"/>
    <mergeCell ref="G37:G38"/>
    <mergeCell ref="E39:E42"/>
    <mergeCell ref="G39:G42"/>
    <mergeCell ref="E43:E45"/>
    <mergeCell ref="G43:G45"/>
    <mergeCell ref="E29:E30"/>
    <mergeCell ref="G29:G30"/>
    <mergeCell ref="E31:E32"/>
    <mergeCell ref="G31:G32"/>
    <mergeCell ref="E33:E36"/>
    <mergeCell ref="G33:G36"/>
    <mergeCell ref="E20:E21"/>
    <mergeCell ref="G20:G21"/>
    <mergeCell ref="E22:E25"/>
    <mergeCell ref="G22:G25"/>
    <mergeCell ref="E26:E28"/>
    <mergeCell ref="G26:G28"/>
    <mergeCell ref="E11:E12"/>
    <mergeCell ref="G11:G12"/>
    <mergeCell ref="E13:E15"/>
    <mergeCell ref="G13:G15"/>
    <mergeCell ref="E16:E19"/>
    <mergeCell ref="G16:G19"/>
    <mergeCell ref="E2:E3"/>
    <mergeCell ref="G2:G3"/>
    <mergeCell ref="E4:E7"/>
    <mergeCell ref="G4:G7"/>
    <mergeCell ref="E8:E10"/>
    <mergeCell ref="G8:G10"/>
  </mergeCells>
  <conditionalFormatting sqref="A992:A1008">
    <cfRule type="duplicateValues" dxfId="159" priority="9"/>
    <cfRule type="duplicateValues" dxfId="158" priority="10"/>
  </conditionalFormatting>
  <conditionalFormatting sqref="A1009:A1023">
    <cfRule type="duplicateValues" dxfId="157" priority="7"/>
    <cfRule type="duplicateValues" dxfId="156" priority="8"/>
  </conditionalFormatting>
  <conditionalFormatting sqref="A1024:A1035">
    <cfRule type="duplicateValues" dxfId="155" priority="4"/>
    <cfRule type="duplicateValues" dxfId="154" priority="3"/>
  </conditionalFormatting>
  <conditionalFormatting sqref="A1036:A1073">
    <cfRule type="duplicateValues" dxfId="153" priority="5"/>
    <cfRule type="duplicateValues" dxfId="152" priority="6"/>
  </conditionalFormatting>
  <conditionalFormatting sqref="C230:C252">
    <cfRule type="duplicateValues" dxfId="151" priority="51"/>
    <cfRule type="duplicateValues" dxfId="150" priority="50"/>
  </conditionalFormatting>
  <conditionalFormatting sqref="C296:C311">
    <cfRule type="duplicateValues" dxfId="149" priority="49"/>
    <cfRule type="duplicateValues" dxfId="148" priority="48"/>
  </conditionalFormatting>
  <conditionalFormatting sqref="C477:C538">
    <cfRule type="duplicateValues" dxfId="147" priority="46"/>
    <cfRule type="duplicateValues" dxfId="146" priority="45"/>
  </conditionalFormatting>
  <conditionalFormatting sqref="C569:C576">
    <cfRule type="duplicateValues" dxfId="145" priority="13"/>
    <cfRule type="duplicateValues" dxfId="144" priority="14"/>
  </conditionalFormatting>
  <conditionalFormatting sqref="C577:C579">
    <cfRule type="duplicateValues" dxfId="143" priority="21"/>
    <cfRule type="duplicateValues" dxfId="142" priority="22"/>
  </conditionalFormatting>
  <conditionalFormatting sqref="C580:C589">
    <cfRule type="duplicateValues" dxfId="141" priority="23"/>
    <cfRule type="duplicateValues" dxfId="140" priority="24"/>
  </conditionalFormatting>
  <conditionalFormatting sqref="C590:C594">
    <cfRule type="duplicateValues" dxfId="139" priority="25"/>
    <cfRule type="duplicateValues" dxfId="138" priority="26"/>
  </conditionalFormatting>
  <conditionalFormatting sqref="C595:C602">
    <cfRule type="duplicateValues" dxfId="137" priority="32"/>
    <cfRule type="duplicateValues" dxfId="136" priority="31"/>
  </conditionalFormatting>
  <conditionalFormatting sqref="C615:C618">
    <cfRule type="duplicateValues" dxfId="135" priority="29"/>
    <cfRule type="duplicateValues" dxfId="134" priority="30"/>
  </conditionalFormatting>
  <conditionalFormatting sqref="C624:C628">
    <cfRule type="duplicateValues" dxfId="133" priority="33"/>
    <cfRule type="duplicateValues" dxfId="132" priority="34"/>
  </conditionalFormatting>
  <conditionalFormatting sqref="C643:C697 C703:C842">
    <cfRule type="duplicateValues" dxfId="131" priority="12"/>
  </conditionalFormatting>
  <conditionalFormatting sqref="C643:C842">
    <cfRule type="duplicateValues" dxfId="130" priority="11"/>
  </conditionalFormatting>
  <conditionalFormatting sqref="C847:C853">
    <cfRule type="duplicateValues" dxfId="129" priority="20"/>
    <cfRule type="duplicateValues" dxfId="128" priority="19"/>
  </conditionalFormatting>
  <conditionalFormatting sqref="C854:C860">
    <cfRule type="duplicateValues" dxfId="127" priority="18"/>
    <cfRule type="duplicateValues" dxfId="126" priority="17"/>
  </conditionalFormatting>
  <conditionalFormatting sqref="C861:C869">
    <cfRule type="duplicateValues" dxfId="125" priority="43"/>
    <cfRule type="duplicateValues" dxfId="124" priority="44"/>
  </conditionalFormatting>
  <conditionalFormatting sqref="C870:C877">
    <cfRule type="duplicateValues" dxfId="123" priority="16"/>
    <cfRule type="duplicateValues" dxfId="122" priority="15"/>
  </conditionalFormatting>
  <conditionalFormatting sqref="C878:C884">
    <cfRule type="duplicateValues" dxfId="121" priority="28"/>
    <cfRule type="duplicateValues" dxfId="120" priority="27"/>
  </conditionalFormatting>
  <conditionalFormatting sqref="C885:C891">
    <cfRule type="duplicateValues" dxfId="119" priority="35"/>
    <cfRule type="duplicateValues" dxfId="118" priority="36"/>
  </conditionalFormatting>
  <conditionalFormatting sqref="C892:C981">
    <cfRule type="duplicateValues" dxfId="117" priority="41"/>
    <cfRule type="duplicateValues" dxfId="116" priority="42"/>
  </conditionalFormatting>
  <conditionalFormatting sqref="C982:C987">
    <cfRule type="duplicateValues" dxfId="115" priority="39"/>
    <cfRule type="duplicateValues" dxfId="114" priority="40"/>
  </conditionalFormatting>
  <conditionalFormatting sqref="C988:C991">
    <cfRule type="duplicateValues" dxfId="113" priority="37"/>
    <cfRule type="duplicateValues" dxfId="112" priority="38"/>
  </conditionalFormatting>
  <conditionalFormatting sqref="J139:J198 J129:J137">
    <cfRule type="duplicateValues" dxfId="111" priority="53"/>
  </conditionalFormatting>
  <conditionalFormatting sqref="J128:K128">
    <cfRule type="duplicateValues" dxfId="110" priority="54"/>
  </conditionalFormatting>
  <conditionalFormatting sqref="K129:K137 K139:K198">
    <cfRule type="duplicateValues" dxfId="109" priority="52"/>
  </conditionalFormatting>
  <conditionalFormatting sqref="K312:K373">
    <cfRule type="duplicateValues" dxfId="108" priority="47"/>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B9DC-16C3-42F0-AF25-6CF4210F6E46}">
  <dimension ref="A1:F114"/>
  <sheetViews>
    <sheetView workbookViewId="0">
      <selection activeCell="K7" sqref="K7"/>
    </sheetView>
  </sheetViews>
  <sheetFormatPr defaultRowHeight="14.4" x14ac:dyDescent="0.3"/>
  <cols>
    <col min="1" max="1" width="3.88671875" bestFit="1" customWidth="1"/>
    <col min="2" max="2" width="8.88671875" hidden="1" customWidth="1"/>
    <col min="3" max="3" width="28.44140625" hidden="1" customWidth="1"/>
    <col min="4" max="4" width="26.5546875" hidden="1" customWidth="1"/>
    <col min="5" max="5" width="34.6640625" hidden="1" customWidth="1"/>
    <col min="6" max="6" width="13.21875" hidden="1" customWidth="1"/>
  </cols>
  <sheetData>
    <row r="1" spans="1:6" ht="28.8" x14ac:dyDescent="0.3">
      <c r="A1" s="272" t="s">
        <v>27</v>
      </c>
      <c r="B1" s="272" t="s">
        <v>5</v>
      </c>
      <c r="C1" s="272" t="s">
        <v>2</v>
      </c>
      <c r="D1" s="272" t="s">
        <v>962</v>
      </c>
      <c r="E1" s="272" t="s">
        <v>963</v>
      </c>
      <c r="F1" s="272" t="s">
        <v>964</v>
      </c>
    </row>
    <row r="2" spans="1:6" x14ac:dyDescent="0.3">
      <c r="A2" s="273">
        <v>1</v>
      </c>
      <c r="B2" s="243" t="s">
        <v>965</v>
      </c>
      <c r="C2" s="243" t="s">
        <v>966</v>
      </c>
      <c r="D2" s="243" t="s">
        <v>967</v>
      </c>
      <c r="E2" s="274" t="s">
        <v>968</v>
      </c>
      <c r="F2" s="243" t="s">
        <v>969</v>
      </c>
    </row>
    <row r="3" spans="1:6" x14ac:dyDescent="0.3">
      <c r="A3" s="273">
        <v>2</v>
      </c>
      <c r="B3" s="243" t="s">
        <v>970</v>
      </c>
      <c r="C3" s="243" t="s">
        <v>515</v>
      </c>
      <c r="D3" s="243" t="s">
        <v>971</v>
      </c>
      <c r="E3" s="274" t="s">
        <v>516</v>
      </c>
      <c r="F3" s="243" t="s">
        <v>969</v>
      </c>
    </row>
    <row r="4" spans="1:6" x14ac:dyDescent="0.3">
      <c r="A4" s="273">
        <v>3</v>
      </c>
      <c r="B4" s="243" t="s">
        <v>87</v>
      </c>
      <c r="C4" s="243" t="s">
        <v>88</v>
      </c>
      <c r="D4" s="243" t="s">
        <v>972</v>
      </c>
      <c r="E4" s="274" t="s">
        <v>89</v>
      </c>
      <c r="F4" s="243" t="s">
        <v>969</v>
      </c>
    </row>
    <row r="5" spans="1:6" x14ac:dyDescent="0.3">
      <c r="A5" s="273">
        <v>4</v>
      </c>
      <c r="B5" s="243" t="s">
        <v>176</v>
      </c>
      <c r="C5" s="243" t="s">
        <v>177</v>
      </c>
      <c r="D5" s="243" t="s">
        <v>973</v>
      </c>
      <c r="E5" s="274" t="s">
        <v>178</v>
      </c>
      <c r="F5" s="243" t="s">
        <v>969</v>
      </c>
    </row>
    <row r="6" spans="1:6" x14ac:dyDescent="0.3">
      <c r="A6" s="273">
        <v>5</v>
      </c>
      <c r="B6" s="243" t="s">
        <v>38</v>
      </c>
      <c r="C6" s="243" t="s">
        <v>39</v>
      </c>
      <c r="D6" s="243" t="s">
        <v>972</v>
      </c>
      <c r="E6" s="274" t="s">
        <v>40</v>
      </c>
      <c r="F6" s="243" t="s">
        <v>969</v>
      </c>
    </row>
    <row r="7" spans="1:6" x14ac:dyDescent="0.3">
      <c r="A7" s="273">
        <v>6</v>
      </c>
      <c r="B7" s="243" t="s">
        <v>974</v>
      </c>
      <c r="C7" s="243" t="s">
        <v>547</v>
      </c>
      <c r="D7" s="243" t="s">
        <v>975</v>
      </c>
      <c r="E7" s="274" t="s">
        <v>976</v>
      </c>
      <c r="F7" s="243" t="s">
        <v>969</v>
      </c>
    </row>
    <row r="8" spans="1:6" x14ac:dyDescent="0.3">
      <c r="A8" s="273">
        <v>7</v>
      </c>
      <c r="B8" s="243" t="s">
        <v>16</v>
      </c>
      <c r="C8" s="243" t="s">
        <v>128</v>
      </c>
      <c r="D8" s="243" t="s">
        <v>977</v>
      </c>
      <c r="E8" s="274" t="s">
        <v>129</v>
      </c>
      <c r="F8" s="243" t="s">
        <v>969</v>
      </c>
    </row>
    <row r="9" spans="1:6" x14ac:dyDescent="0.3">
      <c r="A9" s="273">
        <v>8</v>
      </c>
      <c r="B9" s="243" t="s">
        <v>77</v>
      </c>
      <c r="C9" s="243" t="s">
        <v>78</v>
      </c>
      <c r="D9" s="243" t="s">
        <v>972</v>
      </c>
      <c r="E9" s="274" t="s">
        <v>79</v>
      </c>
      <c r="F9" s="243" t="s">
        <v>969</v>
      </c>
    </row>
    <row r="10" spans="1:6" x14ac:dyDescent="0.3">
      <c r="A10" s="273">
        <v>9</v>
      </c>
      <c r="B10" s="243" t="s">
        <v>202</v>
      </c>
      <c r="C10" s="243" t="s">
        <v>203</v>
      </c>
      <c r="D10" s="243" t="s">
        <v>978</v>
      </c>
      <c r="E10" s="274" t="s">
        <v>979</v>
      </c>
      <c r="F10" s="243" t="s">
        <v>969</v>
      </c>
    </row>
    <row r="11" spans="1:6" x14ac:dyDescent="0.3">
      <c r="A11" s="273">
        <v>10</v>
      </c>
      <c r="B11" s="243" t="s">
        <v>980</v>
      </c>
      <c r="C11" s="243" t="s">
        <v>550</v>
      </c>
      <c r="D11" s="243" t="s">
        <v>981</v>
      </c>
      <c r="E11" s="274" t="s">
        <v>982</v>
      </c>
      <c r="F11" s="243" t="s">
        <v>969</v>
      </c>
    </row>
    <row r="12" spans="1:6" x14ac:dyDescent="0.3">
      <c r="A12" s="273">
        <v>11</v>
      </c>
      <c r="B12" s="243" t="s">
        <v>139</v>
      </c>
      <c r="C12" s="243" t="s">
        <v>140</v>
      </c>
      <c r="D12" s="243" t="s">
        <v>977</v>
      </c>
      <c r="E12" s="274" t="s">
        <v>141</v>
      </c>
      <c r="F12" s="243" t="s">
        <v>969</v>
      </c>
    </row>
    <row r="13" spans="1:6" x14ac:dyDescent="0.3">
      <c r="A13" s="273">
        <v>12</v>
      </c>
      <c r="B13" s="243" t="s">
        <v>142</v>
      </c>
      <c r="C13" s="243" t="s">
        <v>143</v>
      </c>
      <c r="D13" s="243" t="s">
        <v>973</v>
      </c>
      <c r="E13" s="274" t="s">
        <v>144</v>
      </c>
      <c r="F13" s="243" t="s">
        <v>969</v>
      </c>
    </row>
    <row r="14" spans="1:6" x14ac:dyDescent="0.3">
      <c r="A14" s="273">
        <v>13</v>
      </c>
      <c r="B14" s="243" t="s">
        <v>370</v>
      </c>
      <c r="C14" s="243" t="s">
        <v>371</v>
      </c>
      <c r="D14" s="243" t="s">
        <v>967</v>
      </c>
      <c r="E14" s="274" t="s">
        <v>983</v>
      </c>
      <c r="F14" s="243" t="s">
        <v>969</v>
      </c>
    </row>
    <row r="15" spans="1:6" x14ac:dyDescent="0.3">
      <c r="A15" s="273">
        <v>14</v>
      </c>
      <c r="B15" s="243" t="s">
        <v>394</v>
      </c>
      <c r="C15" s="243" t="s">
        <v>395</v>
      </c>
      <c r="D15" s="243" t="s">
        <v>967</v>
      </c>
      <c r="E15" s="274" t="s">
        <v>984</v>
      </c>
      <c r="F15" s="243" t="s">
        <v>969</v>
      </c>
    </row>
    <row r="16" spans="1:6" x14ac:dyDescent="0.3">
      <c r="A16" s="273">
        <v>15</v>
      </c>
      <c r="B16" s="243" t="s">
        <v>408</v>
      </c>
      <c r="C16" s="243" t="s">
        <v>409</v>
      </c>
      <c r="D16" s="243" t="s">
        <v>967</v>
      </c>
      <c r="E16" s="274" t="s">
        <v>410</v>
      </c>
      <c r="F16" s="243" t="s">
        <v>969</v>
      </c>
    </row>
    <row r="17" spans="1:6" x14ac:dyDescent="0.3">
      <c r="A17" s="273">
        <v>16</v>
      </c>
      <c r="B17" s="243" t="s">
        <v>90</v>
      </c>
      <c r="C17" s="243" t="s">
        <v>91</v>
      </c>
      <c r="D17" s="243" t="s">
        <v>977</v>
      </c>
      <c r="E17" s="274" t="s">
        <v>92</v>
      </c>
      <c r="F17" s="243" t="s">
        <v>969</v>
      </c>
    </row>
    <row r="18" spans="1:6" x14ac:dyDescent="0.3">
      <c r="A18" s="273">
        <v>17</v>
      </c>
      <c r="B18" s="243" t="s">
        <v>241</v>
      </c>
      <c r="C18" s="243" t="s">
        <v>242</v>
      </c>
      <c r="D18" s="243" t="s">
        <v>978</v>
      </c>
      <c r="E18" s="274" t="s">
        <v>243</v>
      </c>
      <c r="F18" s="243" t="s">
        <v>969</v>
      </c>
    </row>
    <row r="19" spans="1:6" x14ac:dyDescent="0.3">
      <c r="A19" s="273">
        <v>18</v>
      </c>
      <c r="B19" s="243" t="s">
        <v>244</v>
      </c>
      <c r="C19" s="243" t="s">
        <v>245</v>
      </c>
      <c r="D19" s="243" t="s">
        <v>985</v>
      </c>
      <c r="E19" s="274" t="s">
        <v>246</v>
      </c>
      <c r="F19" s="243" t="s">
        <v>969</v>
      </c>
    </row>
    <row r="20" spans="1:6" x14ac:dyDescent="0.3">
      <c r="A20" s="273">
        <v>19</v>
      </c>
      <c r="B20" s="243" t="s">
        <v>80</v>
      </c>
      <c r="C20" s="243" t="s">
        <v>81</v>
      </c>
      <c r="D20" s="243" t="s">
        <v>972</v>
      </c>
      <c r="E20" s="274" t="s">
        <v>82</v>
      </c>
      <c r="F20" s="243" t="s">
        <v>969</v>
      </c>
    </row>
    <row r="21" spans="1:6" x14ac:dyDescent="0.3">
      <c r="A21" s="273">
        <v>20</v>
      </c>
      <c r="B21" s="243" t="s">
        <v>986</v>
      </c>
      <c r="C21" s="243" t="s">
        <v>560</v>
      </c>
      <c r="D21" s="243" t="s">
        <v>987</v>
      </c>
      <c r="E21" s="274" t="s">
        <v>988</v>
      </c>
      <c r="F21" s="243" t="s">
        <v>969</v>
      </c>
    </row>
    <row r="22" spans="1:6" x14ac:dyDescent="0.3">
      <c r="A22" s="273">
        <v>21</v>
      </c>
      <c r="B22" s="243" t="s">
        <v>989</v>
      </c>
      <c r="C22" s="243" t="s">
        <v>990</v>
      </c>
      <c r="D22" s="243" t="s">
        <v>991</v>
      </c>
      <c r="E22" s="274" t="s">
        <v>992</v>
      </c>
      <c r="F22" s="243" t="s">
        <v>969</v>
      </c>
    </row>
    <row r="23" spans="1:6" x14ac:dyDescent="0.3">
      <c r="A23" s="273">
        <v>22</v>
      </c>
      <c r="B23" s="243" t="s">
        <v>993</v>
      </c>
      <c r="C23" s="243" t="s">
        <v>572</v>
      </c>
      <c r="D23" s="243" t="s">
        <v>994</v>
      </c>
      <c r="E23" s="274" t="s">
        <v>995</v>
      </c>
      <c r="F23" s="243" t="s">
        <v>969</v>
      </c>
    </row>
    <row r="24" spans="1:6" x14ac:dyDescent="0.3">
      <c r="A24" s="273">
        <v>23</v>
      </c>
      <c r="B24" s="243" t="s">
        <v>996</v>
      </c>
      <c r="C24" s="243" t="s">
        <v>613</v>
      </c>
      <c r="D24" s="243" t="s">
        <v>981</v>
      </c>
      <c r="E24" s="274" t="s">
        <v>997</v>
      </c>
      <c r="F24" s="243" t="s">
        <v>969</v>
      </c>
    </row>
    <row r="25" spans="1:6" x14ac:dyDescent="0.3">
      <c r="A25" s="273">
        <v>24</v>
      </c>
      <c r="B25" s="243" t="s">
        <v>998</v>
      </c>
      <c r="C25" s="243" t="s">
        <v>999</v>
      </c>
      <c r="D25" s="243" t="s">
        <v>1000</v>
      </c>
      <c r="E25" s="274" t="s">
        <v>1001</v>
      </c>
      <c r="F25" s="243" t="s">
        <v>969</v>
      </c>
    </row>
    <row r="26" spans="1:6" x14ac:dyDescent="0.3">
      <c r="A26" s="273">
        <v>25</v>
      </c>
      <c r="B26" s="243" t="s">
        <v>447</v>
      </c>
      <c r="C26" s="243" t="s">
        <v>448</v>
      </c>
      <c r="D26" s="243" t="s">
        <v>967</v>
      </c>
      <c r="E26" s="274" t="s">
        <v>352</v>
      </c>
      <c r="F26" s="243" t="s">
        <v>969</v>
      </c>
    </row>
    <row r="27" spans="1:6" x14ac:dyDescent="0.3">
      <c r="A27" s="273">
        <v>26</v>
      </c>
      <c r="B27" s="243" t="s">
        <v>476</v>
      </c>
      <c r="C27" s="243" t="s">
        <v>477</v>
      </c>
      <c r="D27" s="243" t="s">
        <v>967</v>
      </c>
      <c r="E27" s="274" t="s">
        <v>1002</v>
      </c>
      <c r="F27" s="243" t="s">
        <v>969</v>
      </c>
    </row>
    <row r="28" spans="1:6" x14ac:dyDescent="0.3">
      <c r="A28" s="273">
        <v>27</v>
      </c>
      <c r="B28" s="243" t="s">
        <v>419</v>
      </c>
      <c r="C28" s="243" t="s">
        <v>420</v>
      </c>
      <c r="D28" s="243" t="s">
        <v>967</v>
      </c>
      <c r="E28" s="274" t="s">
        <v>421</v>
      </c>
      <c r="F28" s="243" t="s">
        <v>969</v>
      </c>
    </row>
    <row r="29" spans="1:6" x14ac:dyDescent="0.3">
      <c r="A29" s="273">
        <v>28</v>
      </c>
      <c r="B29" s="243" t="s">
        <v>852</v>
      </c>
      <c r="C29" s="243" t="s">
        <v>853</v>
      </c>
      <c r="D29" s="243" t="s">
        <v>977</v>
      </c>
      <c r="E29" s="274" t="s">
        <v>854</v>
      </c>
      <c r="F29" s="243" t="s">
        <v>969</v>
      </c>
    </row>
    <row r="30" spans="1:6" x14ac:dyDescent="0.3">
      <c r="A30" s="273">
        <v>29</v>
      </c>
      <c r="B30" s="243" t="s">
        <v>350</v>
      </c>
      <c r="C30" s="243" t="s">
        <v>351</v>
      </c>
      <c r="D30" s="243" t="s">
        <v>967</v>
      </c>
      <c r="E30" s="274" t="s">
        <v>352</v>
      </c>
      <c r="F30" s="243" t="s">
        <v>969</v>
      </c>
    </row>
    <row r="31" spans="1:6" x14ac:dyDescent="0.3">
      <c r="A31" s="273">
        <v>30</v>
      </c>
      <c r="B31" s="243" t="s">
        <v>484</v>
      </c>
      <c r="C31" s="243" t="s">
        <v>485</v>
      </c>
      <c r="D31" s="243" t="s">
        <v>967</v>
      </c>
      <c r="E31" s="274" t="s">
        <v>486</v>
      </c>
      <c r="F31" s="243" t="s">
        <v>969</v>
      </c>
    </row>
    <row r="32" spans="1:6" x14ac:dyDescent="0.3">
      <c r="A32" s="273">
        <v>31</v>
      </c>
      <c r="B32" s="243" t="s">
        <v>26</v>
      </c>
      <c r="C32" s="243" t="s">
        <v>85</v>
      </c>
      <c r="D32" s="243" t="s">
        <v>972</v>
      </c>
      <c r="E32" s="274" t="s">
        <v>86</v>
      </c>
      <c r="F32" s="243" t="s">
        <v>969</v>
      </c>
    </row>
    <row r="33" spans="1:6" x14ac:dyDescent="0.3">
      <c r="A33" s="273">
        <v>32</v>
      </c>
      <c r="B33" s="243" t="s">
        <v>1003</v>
      </c>
      <c r="C33" s="243" t="s">
        <v>588</v>
      </c>
      <c r="D33" s="243" t="s">
        <v>987</v>
      </c>
      <c r="E33" s="274" t="s">
        <v>1004</v>
      </c>
      <c r="F33" s="243" t="s">
        <v>969</v>
      </c>
    </row>
    <row r="34" spans="1:6" x14ac:dyDescent="0.3">
      <c r="A34" s="273">
        <v>33</v>
      </c>
      <c r="B34" s="243" t="s">
        <v>1005</v>
      </c>
      <c r="C34" s="243" t="s">
        <v>605</v>
      </c>
      <c r="D34" s="243" t="s">
        <v>981</v>
      </c>
      <c r="E34" s="274" t="s">
        <v>1006</v>
      </c>
      <c r="F34" s="243" t="s">
        <v>969</v>
      </c>
    </row>
    <row r="35" spans="1:6" x14ac:dyDescent="0.3">
      <c r="A35" s="273">
        <v>34</v>
      </c>
      <c r="B35" s="243" t="s">
        <v>773</v>
      </c>
      <c r="C35" s="243" t="s">
        <v>770</v>
      </c>
      <c r="D35" s="243" t="s">
        <v>1007</v>
      </c>
      <c r="E35" s="274" t="s">
        <v>771</v>
      </c>
      <c r="F35" s="243" t="s">
        <v>969</v>
      </c>
    </row>
    <row r="36" spans="1:6" x14ac:dyDescent="0.3">
      <c r="A36" s="273">
        <v>35</v>
      </c>
      <c r="B36" s="243" t="s">
        <v>168</v>
      </c>
      <c r="C36" s="243" t="s">
        <v>169</v>
      </c>
      <c r="D36" s="243" t="s">
        <v>973</v>
      </c>
      <c r="E36" s="274" t="s">
        <v>170</v>
      </c>
      <c r="F36" s="243" t="s">
        <v>969</v>
      </c>
    </row>
    <row r="37" spans="1:6" x14ac:dyDescent="0.3">
      <c r="A37" s="273">
        <v>36</v>
      </c>
      <c r="B37" s="243" t="s">
        <v>69</v>
      </c>
      <c r="C37" s="243" t="s">
        <v>70</v>
      </c>
      <c r="D37" s="243" t="s">
        <v>972</v>
      </c>
      <c r="E37" s="274" t="s">
        <v>71</v>
      </c>
      <c r="F37" s="243" t="s">
        <v>969</v>
      </c>
    </row>
    <row r="38" spans="1:6" x14ac:dyDescent="0.3">
      <c r="A38" s="273">
        <v>37</v>
      </c>
      <c r="B38" s="243" t="s">
        <v>439</v>
      </c>
      <c r="C38" s="243" t="s">
        <v>440</v>
      </c>
      <c r="D38" s="243" t="s">
        <v>967</v>
      </c>
      <c r="E38" s="274" t="s">
        <v>984</v>
      </c>
      <c r="F38" s="243" t="s">
        <v>969</v>
      </c>
    </row>
    <row r="39" spans="1:6" x14ac:dyDescent="0.3">
      <c r="A39" s="273">
        <v>38</v>
      </c>
      <c r="B39" s="243" t="s">
        <v>266</v>
      </c>
      <c r="C39" s="243" t="s">
        <v>267</v>
      </c>
      <c r="D39" s="243" t="s">
        <v>985</v>
      </c>
      <c r="E39" s="274" t="s">
        <v>268</v>
      </c>
      <c r="F39" s="243" t="s">
        <v>969</v>
      </c>
    </row>
    <row r="40" spans="1:6" x14ac:dyDescent="0.3">
      <c r="A40" s="273">
        <v>39</v>
      </c>
      <c r="B40" s="243" t="s">
        <v>283</v>
      </c>
      <c r="C40" s="243" t="s">
        <v>284</v>
      </c>
      <c r="D40" s="243" t="s">
        <v>985</v>
      </c>
      <c r="E40" s="274" t="s">
        <v>1008</v>
      </c>
      <c r="F40" s="243" t="s">
        <v>969</v>
      </c>
    </row>
    <row r="41" spans="1:6" x14ac:dyDescent="0.3">
      <c r="A41" s="273">
        <v>40</v>
      </c>
      <c r="B41" s="243" t="s">
        <v>302</v>
      </c>
      <c r="C41" s="243" t="s">
        <v>303</v>
      </c>
      <c r="D41" s="243" t="s">
        <v>985</v>
      </c>
      <c r="E41" s="274" t="s">
        <v>1008</v>
      </c>
      <c r="F41" s="243" t="s">
        <v>969</v>
      </c>
    </row>
    <row r="42" spans="1:6" x14ac:dyDescent="0.3">
      <c r="A42" s="273">
        <v>41</v>
      </c>
      <c r="B42" s="243" t="s">
        <v>1009</v>
      </c>
      <c r="C42" s="243" t="s">
        <v>565</v>
      </c>
      <c r="D42" s="243" t="s">
        <v>975</v>
      </c>
      <c r="E42" s="274" t="s">
        <v>1010</v>
      </c>
      <c r="F42" s="243" t="s">
        <v>969</v>
      </c>
    </row>
    <row r="43" spans="1:6" x14ac:dyDescent="0.3">
      <c r="A43" s="273">
        <v>42</v>
      </c>
      <c r="B43" s="243" t="s">
        <v>185</v>
      </c>
      <c r="C43" s="243" t="s">
        <v>186</v>
      </c>
      <c r="D43" s="243" t="s">
        <v>1011</v>
      </c>
      <c r="E43" s="274" t="s">
        <v>187</v>
      </c>
      <c r="F43" s="243" t="s">
        <v>969</v>
      </c>
    </row>
    <row r="44" spans="1:6" x14ac:dyDescent="0.3">
      <c r="A44" s="273">
        <v>43</v>
      </c>
      <c r="B44" s="243" t="s">
        <v>943</v>
      </c>
      <c r="C44" s="243" t="s">
        <v>944</v>
      </c>
      <c r="D44" s="243" t="s">
        <v>977</v>
      </c>
      <c r="E44" s="274" t="s">
        <v>906</v>
      </c>
      <c r="F44" s="243" t="s">
        <v>969</v>
      </c>
    </row>
    <row r="45" spans="1:6" x14ac:dyDescent="0.3">
      <c r="A45" s="273">
        <v>44</v>
      </c>
      <c r="B45" s="243" t="s">
        <v>881</v>
      </c>
      <c r="C45" s="243" t="s">
        <v>882</v>
      </c>
      <c r="D45" s="243" t="s">
        <v>977</v>
      </c>
      <c r="E45" s="274" t="s">
        <v>883</v>
      </c>
      <c r="F45" s="243" t="s">
        <v>969</v>
      </c>
    </row>
    <row r="46" spans="1:6" x14ac:dyDescent="0.3">
      <c r="A46" s="273">
        <v>45</v>
      </c>
      <c r="B46" s="274" t="s">
        <v>904</v>
      </c>
      <c r="C46" s="274" t="s">
        <v>905</v>
      </c>
      <c r="D46" s="243" t="s">
        <v>977</v>
      </c>
      <c r="E46" s="274" t="s">
        <v>906</v>
      </c>
      <c r="F46" s="243" t="s">
        <v>969</v>
      </c>
    </row>
    <row r="47" spans="1:6" x14ac:dyDescent="0.3">
      <c r="A47" s="273">
        <v>46</v>
      </c>
      <c r="B47" s="274" t="s">
        <v>1012</v>
      </c>
      <c r="C47" s="274" t="s">
        <v>751</v>
      </c>
      <c r="D47" s="243" t="s">
        <v>1007</v>
      </c>
      <c r="E47" s="274" t="s">
        <v>1013</v>
      </c>
      <c r="F47" s="243" t="s">
        <v>969</v>
      </c>
    </row>
    <row r="48" spans="1:6" x14ac:dyDescent="0.3">
      <c r="A48" s="273">
        <v>47</v>
      </c>
      <c r="B48" s="274" t="s">
        <v>1014</v>
      </c>
      <c r="C48" s="274" t="s">
        <v>762</v>
      </c>
      <c r="D48" s="243" t="s">
        <v>1007</v>
      </c>
      <c r="E48" s="274" t="s">
        <v>1015</v>
      </c>
      <c r="F48" s="243" t="s">
        <v>969</v>
      </c>
    </row>
    <row r="49" spans="1:6" x14ac:dyDescent="0.3">
      <c r="A49" s="273">
        <v>48</v>
      </c>
      <c r="B49" s="274" t="s">
        <v>1016</v>
      </c>
      <c r="C49" s="274" t="s">
        <v>730</v>
      </c>
      <c r="D49" s="243" t="s">
        <v>1017</v>
      </c>
      <c r="E49" s="274" t="s">
        <v>1018</v>
      </c>
      <c r="F49" s="243" t="s">
        <v>969</v>
      </c>
    </row>
    <row r="50" spans="1:6" x14ac:dyDescent="0.3">
      <c r="A50" s="273">
        <v>49</v>
      </c>
      <c r="B50" s="274" t="s">
        <v>200</v>
      </c>
      <c r="C50" s="274" t="s">
        <v>201</v>
      </c>
      <c r="D50" s="243" t="s">
        <v>1011</v>
      </c>
      <c r="E50" s="274" t="s">
        <v>187</v>
      </c>
      <c r="F50" s="243" t="s">
        <v>969</v>
      </c>
    </row>
    <row r="51" spans="1:6" x14ac:dyDescent="0.3">
      <c r="A51" s="273">
        <v>50</v>
      </c>
      <c r="B51" s="274" t="s">
        <v>324</v>
      </c>
      <c r="C51" s="274" t="s">
        <v>325</v>
      </c>
      <c r="D51" s="243" t="s">
        <v>985</v>
      </c>
      <c r="E51" s="274" t="s">
        <v>326</v>
      </c>
      <c r="F51" s="243" t="s">
        <v>1019</v>
      </c>
    </row>
    <row r="52" spans="1:6" x14ac:dyDescent="0.3">
      <c r="A52" s="273">
        <v>51</v>
      </c>
      <c r="B52" s="274" t="s">
        <v>1020</v>
      </c>
      <c r="C52" s="274" t="s">
        <v>1021</v>
      </c>
      <c r="D52" s="243" t="s">
        <v>967</v>
      </c>
      <c r="E52" s="274" t="s">
        <v>1022</v>
      </c>
      <c r="F52" s="243" t="s">
        <v>969</v>
      </c>
    </row>
    <row r="53" spans="1:6" x14ac:dyDescent="0.3">
      <c r="A53" s="273">
        <v>52</v>
      </c>
      <c r="B53" s="274" t="s">
        <v>1023</v>
      </c>
      <c r="C53" s="274" t="s">
        <v>1024</v>
      </c>
      <c r="D53" s="243" t="s">
        <v>971</v>
      </c>
      <c r="E53" s="274" t="s">
        <v>1022</v>
      </c>
      <c r="F53" s="243" t="s">
        <v>969</v>
      </c>
    </row>
    <row r="54" spans="1:6" x14ac:dyDescent="0.3">
      <c r="A54" s="273">
        <v>53</v>
      </c>
      <c r="B54" s="275" t="s">
        <v>1025</v>
      </c>
      <c r="C54" s="275" t="s">
        <v>1026</v>
      </c>
      <c r="D54" s="243" t="s">
        <v>975</v>
      </c>
      <c r="E54" s="274" t="s">
        <v>1022</v>
      </c>
      <c r="F54" s="243" t="s">
        <v>969</v>
      </c>
    </row>
    <row r="55" spans="1:6" x14ac:dyDescent="0.3">
      <c r="A55" s="273">
        <v>54</v>
      </c>
      <c r="B55" s="274" t="s">
        <v>1027</v>
      </c>
      <c r="C55" s="274" t="s">
        <v>1028</v>
      </c>
      <c r="D55" s="243" t="s">
        <v>977</v>
      </c>
      <c r="E55" s="274" t="s">
        <v>1029</v>
      </c>
      <c r="F55" s="243" t="s">
        <v>969</v>
      </c>
    </row>
    <row r="56" spans="1:6" x14ac:dyDescent="0.3">
      <c r="A56" s="273">
        <v>55</v>
      </c>
      <c r="B56" s="275" t="s">
        <v>1030</v>
      </c>
      <c r="C56" s="275" t="s">
        <v>1031</v>
      </c>
      <c r="D56" s="243" t="s">
        <v>977</v>
      </c>
      <c r="E56" s="274" t="s">
        <v>1029</v>
      </c>
      <c r="F56" s="243" t="s">
        <v>969</v>
      </c>
    </row>
    <row r="57" spans="1:6" x14ac:dyDescent="0.3">
      <c r="A57" s="273">
        <v>56</v>
      </c>
      <c r="B57" s="275" t="s">
        <v>1032</v>
      </c>
      <c r="C57" s="275" t="s">
        <v>718</v>
      </c>
      <c r="D57" s="243" t="s">
        <v>1017</v>
      </c>
      <c r="E57" s="274" t="s">
        <v>1018</v>
      </c>
      <c r="F57" s="243" t="s">
        <v>969</v>
      </c>
    </row>
    <row r="58" spans="1:6" x14ac:dyDescent="0.3">
      <c r="A58" s="273">
        <v>57</v>
      </c>
      <c r="B58" s="276" t="s">
        <v>334</v>
      </c>
      <c r="C58" s="276" t="s">
        <v>335</v>
      </c>
      <c r="D58" s="243" t="s">
        <v>985</v>
      </c>
      <c r="E58" s="274" t="s">
        <v>336</v>
      </c>
      <c r="F58" s="243" t="s">
        <v>1019</v>
      </c>
    </row>
    <row r="59" spans="1:6" x14ac:dyDescent="0.3">
      <c r="A59" s="273">
        <v>58</v>
      </c>
      <c r="B59" s="276" t="s">
        <v>455</v>
      </c>
      <c r="C59" s="276" t="s">
        <v>456</v>
      </c>
      <c r="D59" s="243" t="s">
        <v>967</v>
      </c>
      <c r="E59" s="274" t="s">
        <v>457</v>
      </c>
      <c r="F59" s="243" t="s">
        <v>969</v>
      </c>
    </row>
    <row r="60" spans="1:6" x14ac:dyDescent="0.3">
      <c r="A60" s="273">
        <v>59</v>
      </c>
      <c r="B60" s="277" t="s">
        <v>108</v>
      </c>
      <c r="C60" s="277" t="s">
        <v>109</v>
      </c>
      <c r="D60" s="243" t="s">
        <v>977</v>
      </c>
      <c r="E60" s="274" t="s">
        <v>92</v>
      </c>
      <c r="F60" s="243" t="s">
        <v>969</v>
      </c>
    </row>
    <row r="61" spans="1:6" x14ac:dyDescent="0.3">
      <c r="A61" s="273">
        <v>60</v>
      </c>
      <c r="B61" s="278" t="s">
        <v>923</v>
      </c>
      <c r="C61" s="278" t="s">
        <v>924</v>
      </c>
      <c r="D61" s="243" t="s">
        <v>977</v>
      </c>
      <c r="E61" s="274" t="s">
        <v>925</v>
      </c>
      <c r="F61" s="243" t="s">
        <v>969</v>
      </c>
    </row>
    <row r="62" spans="1:6" x14ac:dyDescent="0.3">
      <c r="A62" s="273">
        <v>61</v>
      </c>
      <c r="B62" s="278" t="s">
        <v>809</v>
      </c>
      <c r="C62" s="278" t="s">
        <v>810</v>
      </c>
      <c r="D62" s="243" t="s">
        <v>1017</v>
      </c>
      <c r="E62" s="274" t="s">
        <v>1033</v>
      </c>
      <c r="F62" s="243" t="s">
        <v>969</v>
      </c>
    </row>
    <row r="63" spans="1:6" x14ac:dyDescent="0.3">
      <c r="A63" s="273">
        <v>62</v>
      </c>
      <c r="B63" s="278" t="s">
        <v>807</v>
      </c>
      <c r="C63" s="278" t="s">
        <v>808</v>
      </c>
      <c r="D63" s="243" t="s">
        <v>1017</v>
      </c>
      <c r="E63" s="274" t="s">
        <v>1033</v>
      </c>
      <c r="F63" s="243" t="s">
        <v>969</v>
      </c>
    </row>
    <row r="64" spans="1:6" x14ac:dyDescent="0.3">
      <c r="A64" s="273">
        <v>63</v>
      </c>
      <c r="B64" s="278" t="s">
        <v>805</v>
      </c>
      <c r="C64" s="278" t="s">
        <v>806</v>
      </c>
      <c r="D64" s="243" t="s">
        <v>1017</v>
      </c>
      <c r="E64" s="274" t="s">
        <v>1033</v>
      </c>
      <c r="F64" s="243" t="s">
        <v>969</v>
      </c>
    </row>
    <row r="65" spans="1:6" x14ac:dyDescent="0.3">
      <c r="A65" s="273">
        <v>64</v>
      </c>
      <c r="B65" s="278" t="s">
        <v>1034</v>
      </c>
      <c r="C65" s="278" t="s">
        <v>737</v>
      </c>
      <c r="D65" s="243" t="s">
        <v>1017</v>
      </c>
      <c r="E65" s="274" t="s">
        <v>1035</v>
      </c>
      <c r="F65" s="243" t="s">
        <v>969</v>
      </c>
    </row>
    <row r="66" spans="1:6" x14ac:dyDescent="0.3">
      <c r="A66" s="273">
        <v>65</v>
      </c>
      <c r="B66" s="278" t="s">
        <v>801</v>
      </c>
      <c r="C66" s="278" t="s">
        <v>802</v>
      </c>
      <c r="D66" s="243" t="s">
        <v>1017</v>
      </c>
      <c r="E66" s="274" t="s">
        <v>1033</v>
      </c>
      <c r="F66" s="243" t="s">
        <v>969</v>
      </c>
    </row>
    <row r="67" spans="1:6" x14ac:dyDescent="0.3">
      <c r="A67" s="273">
        <v>66</v>
      </c>
      <c r="B67" s="241" t="s">
        <v>803</v>
      </c>
      <c r="C67" s="241" t="s">
        <v>804</v>
      </c>
      <c r="D67" s="243" t="s">
        <v>1017</v>
      </c>
      <c r="E67" s="274" t="s">
        <v>1033</v>
      </c>
      <c r="F67" s="243" t="s">
        <v>969</v>
      </c>
    </row>
    <row r="68" spans="1:6" x14ac:dyDescent="0.3">
      <c r="A68" s="273">
        <v>67</v>
      </c>
      <c r="B68" s="241" t="s">
        <v>836</v>
      </c>
      <c r="C68" s="241" t="s">
        <v>837</v>
      </c>
      <c r="D68" s="243" t="s">
        <v>1017</v>
      </c>
      <c r="E68" s="274" t="s">
        <v>1033</v>
      </c>
      <c r="F68" s="243" t="s">
        <v>969</v>
      </c>
    </row>
    <row r="69" spans="1:6" x14ac:dyDescent="0.3">
      <c r="A69" s="273">
        <v>68</v>
      </c>
      <c r="B69" s="241" t="s">
        <v>827</v>
      </c>
      <c r="C69" s="241" t="s">
        <v>828</v>
      </c>
      <c r="D69" s="243" t="s">
        <v>1017</v>
      </c>
      <c r="E69" s="274" t="s">
        <v>1033</v>
      </c>
      <c r="F69" s="243" t="s">
        <v>969</v>
      </c>
    </row>
    <row r="70" spans="1:6" x14ac:dyDescent="0.3">
      <c r="A70" s="273">
        <v>69</v>
      </c>
      <c r="B70" s="241" t="s">
        <v>1036</v>
      </c>
      <c r="C70" s="241" t="s">
        <v>620</v>
      </c>
      <c r="D70" s="243" t="s">
        <v>981</v>
      </c>
      <c r="E70" s="274" t="s">
        <v>1037</v>
      </c>
      <c r="F70" s="243" t="s">
        <v>969</v>
      </c>
    </row>
    <row r="71" spans="1:6" x14ac:dyDescent="0.3">
      <c r="A71" s="273">
        <v>70</v>
      </c>
      <c r="B71" s="241" t="s">
        <v>834</v>
      </c>
      <c r="C71" s="241" t="s">
        <v>835</v>
      </c>
      <c r="D71" s="243" t="s">
        <v>1017</v>
      </c>
      <c r="E71" s="274" t="s">
        <v>1033</v>
      </c>
      <c r="F71" s="243" t="s">
        <v>969</v>
      </c>
    </row>
    <row r="72" spans="1:6" x14ac:dyDescent="0.3">
      <c r="A72" s="273">
        <v>71</v>
      </c>
      <c r="B72" s="241" t="s">
        <v>799</v>
      </c>
      <c r="C72" s="241" t="s">
        <v>800</v>
      </c>
      <c r="D72" s="243" t="s">
        <v>1017</v>
      </c>
      <c r="E72" s="274" t="s">
        <v>1033</v>
      </c>
      <c r="F72" s="243" t="s">
        <v>969</v>
      </c>
    </row>
    <row r="73" spans="1:6" x14ac:dyDescent="0.3">
      <c r="A73" s="273">
        <v>72</v>
      </c>
      <c r="B73" s="241" t="s">
        <v>823</v>
      </c>
      <c r="C73" s="241" t="s">
        <v>824</v>
      </c>
      <c r="D73" s="243" t="s">
        <v>1017</v>
      </c>
      <c r="E73" s="274" t="s">
        <v>1033</v>
      </c>
      <c r="F73" s="243" t="s">
        <v>969</v>
      </c>
    </row>
    <row r="74" spans="1:6" x14ac:dyDescent="0.3">
      <c r="A74" s="273">
        <v>73</v>
      </c>
      <c r="B74" s="241" t="s">
        <v>811</v>
      </c>
      <c r="C74" s="241" t="s">
        <v>812</v>
      </c>
      <c r="D74" s="243" t="s">
        <v>1017</v>
      </c>
      <c r="E74" s="274" t="s">
        <v>1033</v>
      </c>
      <c r="F74" s="243" t="s">
        <v>969</v>
      </c>
    </row>
    <row r="75" spans="1:6" x14ac:dyDescent="0.3">
      <c r="A75" s="273">
        <v>74</v>
      </c>
      <c r="B75" s="241" t="s">
        <v>791</v>
      </c>
      <c r="C75" s="241" t="s">
        <v>792</v>
      </c>
      <c r="D75" s="243" t="s">
        <v>1017</v>
      </c>
      <c r="E75" s="274" t="s">
        <v>1033</v>
      </c>
      <c r="F75" s="243" t="s">
        <v>969</v>
      </c>
    </row>
    <row r="76" spans="1:6" x14ac:dyDescent="0.3">
      <c r="A76" s="273">
        <v>75</v>
      </c>
      <c r="B76" s="241" t="s">
        <v>825</v>
      </c>
      <c r="C76" s="241" t="s">
        <v>826</v>
      </c>
      <c r="D76" s="243" t="s">
        <v>1017</v>
      </c>
      <c r="E76" s="274" t="s">
        <v>1033</v>
      </c>
      <c r="F76" s="243" t="s">
        <v>969</v>
      </c>
    </row>
    <row r="77" spans="1:6" x14ac:dyDescent="0.3">
      <c r="A77" s="273">
        <v>76</v>
      </c>
      <c r="B77" s="241" t="s">
        <v>778</v>
      </c>
      <c r="C77" s="241" t="s">
        <v>779</v>
      </c>
      <c r="D77" s="243" t="s">
        <v>1017</v>
      </c>
      <c r="E77" s="274" t="s">
        <v>1033</v>
      </c>
      <c r="F77" s="243" t="s">
        <v>969</v>
      </c>
    </row>
    <row r="78" spans="1:6" x14ac:dyDescent="0.3">
      <c r="A78" s="273">
        <v>77</v>
      </c>
      <c r="B78" s="241" t="s">
        <v>821</v>
      </c>
      <c r="C78" s="241" t="s">
        <v>822</v>
      </c>
      <c r="D78" s="243" t="s">
        <v>1017</v>
      </c>
      <c r="E78" s="274" t="s">
        <v>1033</v>
      </c>
      <c r="F78" s="243" t="s">
        <v>969</v>
      </c>
    </row>
    <row r="79" spans="1:6" x14ac:dyDescent="0.3">
      <c r="A79" s="273">
        <v>78</v>
      </c>
      <c r="B79" s="241" t="s">
        <v>500</v>
      </c>
      <c r="C79" s="241" t="s">
        <v>501</v>
      </c>
      <c r="D79" s="243" t="s">
        <v>967</v>
      </c>
      <c r="E79" s="274" t="s">
        <v>502</v>
      </c>
      <c r="F79" s="243" t="s">
        <v>969</v>
      </c>
    </row>
    <row r="80" spans="1:6" x14ac:dyDescent="0.3">
      <c r="A80" s="273">
        <v>79</v>
      </c>
      <c r="B80" s="241" t="s">
        <v>1038</v>
      </c>
      <c r="C80" s="241" t="s">
        <v>556</v>
      </c>
      <c r="D80" s="243" t="s">
        <v>1007</v>
      </c>
      <c r="E80" s="274" t="s">
        <v>1039</v>
      </c>
      <c r="F80" s="243" t="s">
        <v>969</v>
      </c>
    </row>
    <row r="81" spans="1:6" x14ac:dyDescent="0.3">
      <c r="A81" s="273">
        <v>80</v>
      </c>
      <c r="B81" s="241" t="s">
        <v>116</v>
      </c>
      <c r="C81" s="241" t="s">
        <v>117</v>
      </c>
      <c r="D81" s="243" t="s">
        <v>977</v>
      </c>
      <c r="E81" s="274" t="s">
        <v>1040</v>
      </c>
      <c r="F81" s="243" t="s">
        <v>969</v>
      </c>
    </row>
    <row r="82" spans="1:6" x14ac:dyDescent="0.3">
      <c r="A82" s="273">
        <v>81</v>
      </c>
      <c r="B82" s="241" t="s">
        <v>634</v>
      </c>
      <c r="C82" s="241" t="s">
        <v>635</v>
      </c>
      <c r="D82" s="243" t="s">
        <v>981</v>
      </c>
      <c r="E82" s="274" t="s">
        <v>1041</v>
      </c>
      <c r="F82" s="243" t="s">
        <v>1019</v>
      </c>
    </row>
    <row r="83" spans="1:6" x14ac:dyDescent="0.3">
      <c r="A83" s="273">
        <v>82</v>
      </c>
      <c r="B83" s="241" t="s">
        <v>636</v>
      </c>
      <c r="C83" s="241" t="s">
        <v>637</v>
      </c>
      <c r="D83" s="243" t="s">
        <v>981</v>
      </c>
      <c r="E83" s="274" t="s">
        <v>1041</v>
      </c>
      <c r="F83" s="243" t="s">
        <v>1019</v>
      </c>
    </row>
    <row r="84" spans="1:6" x14ac:dyDescent="0.3">
      <c r="A84" s="273">
        <v>83</v>
      </c>
      <c r="B84" s="241" t="s">
        <v>638</v>
      </c>
      <c r="C84" s="241" t="s">
        <v>639</v>
      </c>
      <c r="D84" s="243" t="s">
        <v>981</v>
      </c>
      <c r="E84" s="274" t="s">
        <v>1041</v>
      </c>
      <c r="F84" s="243" t="s">
        <v>1019</v>
      </c>
    </row>
    <row r="85" spans="1:6" x14ac:dyDescent="0.3">
      <c r="A85" s="273">
        <v>84</v>
      </c>
      <c r="B85" s="241" t="s">
        <v>640</v>
      </c>
      <c r="C85" s="241" t="s">
        <v>641</v>
      </c>
      <c r="D85" s="243" t="s">
        <v>981</v>
      </c>
      <c r="E85" s="274" t="s">
        <v>1041</v>
      </c>
      <c r="F85" s="243" t="s">
        <v>1019</v>
      </c>
    </row>
    <row r="86" spans="1:6" x14ac:dyDescent="0.3">
      <c r="A86" s="273">
        <v>85</v>
      </c>
      <c r="B86" s="241" t="s">
        <v>642</v>
      </c>
      <c r="C86" s="241" t="s">
        <v>643</v>
      </c>
      <c r="D86" s="243" t="s">
        <v>981</v>
      </c>
      <c r="E86" s="274" t="s">
        <v>1041</v>
      </c>
      <c r="F86" s="243" t="s">
        <v>1019</v>
      </c>
    </row>
    <row r="87" spans="1:6" x14ac:dyDescent="0.3">
      <c r="A87" s="273">
        <v>86</v>
      </c>
      <c r="B87" s="241" t="s">
        <v>644</v>
      </c>
      <c r="C87" s="241" t="s">
        <v>645</v>
      </c>
      <c r="D87" s="243" t="s">
        <v>981</v>
      </c>
      <c r="E87" s="274" t="s">
        <v>1041</v>
      </c>
      <c r="F87" s="243" t="s">
        <v>1019</v>
      </c>
    </row>
    <row r="88" spans="1:6" x14ac:dyDescent="0.3">
      <c r="A88" s="273">
        <v>87</v>
      </c>
      <c r="B88" s="241" t="s">
        <v>650</v>
      </c>
      <c r="C88" s="241" t="s">
        <v>651</v>
      </c>
      <c r="D88" s="243" t="s">
        <v>981</v>
      </c>
      <c r="E88" s="274" t="s">
        <v>627</v>
      </c>
      <c r="F88" s="243" t="s">
        <v>1019</v>
      </c>
    </row>
    <row r="89" spans="1:6" x14ac:dyDescent="0.3">
      <c r="A89" s="273">
        <v>88</v>
      </c>
      <c r="B89" s="241" t="s">
        <v>652</v>
      </c>
      <c r="C89" s="241" t="s">
        <v>653</v>
      </c>
      <c r="D89" s="243" t="s">
        <v>981</v>
      </c>
      <c r="E89" s="274" t="s">
        <v>627</v>
      </c>
      <c r="F89" s="243" t="s">
        <v>1019</v>
      </c>
    </row>
    <row r="90" spans="1:6" x14ac:dyDescent="0.3">
      <c r="A90" s="273">
        <v>89</v>
      </c>
      <c r="B90" s="241" t="s">
        <v>654</v>
      </c>
      <c r="C90" s="241" t="s">
        <v>655</v>
      </c>
      <c r="D90" s="243" t="s">
        <v>981</v>
      </c>
      <c r="E90" s="274" t="s">
        <v>627</v>
      </c>
      <c r="F90" s="243" t="s">
        <v>1019</v>
      </c>
    </row>
    <row r="91" spans="1:6" x14ac:dyDescent="0.3">
      <c r="A91" s="273">
        <v>90</v>
      </c>
      <c r="B91" s="241" t="s">
        <v>658</v>
      </c>
      <c r="C91" s="243" t="s">
        <v>659</v>
      </c>
      <c r="D91" s="243" t="s">
        <v>981</v>
      </c>
      <c r="E91" s="274" t="s">
        <v>1041</v>
      </c>
      <c r="F91" s="243" t="s">
        <v>1019</v>
      </c>
    </row>
    <row r="92" spans="1:6" x14ac:dyDescent="0.3">
      <c r="A92" s="273">
        <v>91</v>
      </c>
      <c r="B92" s="243" t="s">
        <v>660</v>
      </c>
      <c r="C92" s="243" t="s">
        <v>661</v>
      </c>
      <c r="D92" s="243" t="s">
        <v>981</v>
      </c>
      <c r="E92" s="274" t="s">
        <v>627</v>
      </c>
      <c r="F92" s="243" t="s">
        <v>1019</v>
      </c>
    </row>
    <row r="93" spans="1:6" x14ac:dyDescent="0.3">
      <c r="A93" s="273">
        <v>92</v>
      </c>
      <c r="B93" s="243" t="s">
        <v>662</v>
      </c>
      <c r="C93" s="243" t="s">
        <v>663</v>
      </c>
      <c r="D93" s="243" t="s">
        <v>981</v>
      </c>
      <c r="E93" s="274" t="s">
        <v>627</v>
      </c>
      <c r="F93" s="243" t="s">
        <v>1019</v>
      </c>
    </row>
    <row r="94" spans="1:6" x14ac:dyDescent="0.3">
      <c r="A94" s="273">
        <v>93</v>
      </c>
      <c r="B94" s="243" t="s">
        <v>666</v>
      </c>
      <c r="C94" s="243" t="s">
        <v>667</v>
      </c>
      <c r="D94" s="243" t="s">
        <v>981</v>
      </c>
      <c r="E94" s="274" t="s">
        <v>627</v>
      </c>
      <c r="F94" s="243" t="s">
        <v>1019</v>
      </c>
    </row>
    <row r="95" spans="1:6" x14ac:dyDescent="0.3">
      <c r="A95" s="273">
        <v>94</v>
      </c>
      <c r="B95" s="243" t="s">
        <v>668</v>
      </c>
      <c r="C95" s="243" t="s">
        <v>669</v>
      </c>
      <c r="D95" s="243" t="s">
        <v>981</v>
      </c>
      <c r="E95" s="274" t="s">
        <v>627</v>
      </c>
      <c r="F95" s="243" t="s">
        <v>1019</v>
      </c>
    </row>
    <row r="96" spans="1:6" x14ac:dyDescent="0.3">
      <c r="A96" s="273">
        <v>95</v>
      </c>
      <c r="B96" s="243" t="s">
        <v>684</v>
      </c>
      <c r="C96" s="243" t="s">
        <v>685</v>
      </c>
      <c r="D96" s="243" t="s">
        <v>981</v>
      </c>
      <c r="E96" s="274" t="s">
        <v>627</v>
      </c>
      <c r="F96" s="243" t="s">
        <v>1019</v>
      </c>
    </row>
    <row r="97" spans="1:6" x14ac:dyDescent="0.3">
      <c r="A97" s="273">
        <v>96</v>
      </c>
      <c r="B97" s="243" t="s">
        <v>688</v>
      </c>
      <c r="C97" s="243" t="s">
        <v>689</v>
      </c>
      <c r="D97" s="243" t="s">
        <v>981</v>
      </c>
      <c r="E97" s="274" t="s">
        <v>627</v>
      </c>
      <c r="F97" s="243" t="s">
        <v>1019</v>
      </c>
    </row>
    <row r="98" spans="1:6" x14ac:dyDescent="0.3">
      <c r="A98" s="273">
        <v>97</v>
      </c>
      <c r="B98" s="243" t="s">
        <v>690</v>
      </c>
      <c r="C98" s="243" t="s">
        <v>691</v>
      </c>
      <c r="D98" s="243" t="s">
        <v>981</v>
      </c>
      <c r="E98" s="274" t="s">
        <v>627</v>
      </c>
      <c r="F98" s="243" t="s">
        <v>1019</v>
      </c>
    </row>
    <row r="99" spans="1:6" x14ac:dyDescent="0.3">
      <c r="A99" s="273">
        <v>98</v>
      </c>
      <c r="B99" s="243" t="s">
        <v>692</v>
      </c>
      <c r="C99" s="243" t="s">
        <v>693</v>
      </c>
      <c r="D99" s="243" t="s">
        <v>981</v>
      </c>
      <c r="E99" s="274" t="s">
        <v>627</v>
      </c>
      <c r="F99" s="243" t="s">
        <v>1019</v>
      </c>
    </row>
    <row r="100" spans="1:6" x14ac:dyDescent="0.3">
      <c r="A100" s="273">
        <v>99</v>
      </c>
      <c r="B100" s="243" t="s">
        <v>694</v>
      </c>
      <c r="C100" s="243" t="s">
        <v>695</v>
      </c>
      <c r="D100" s="243" t="s">
        <v>981</v>
      </c>
      <c r="E100" s="274" t="s">
        <v>627</v>
      </c>
      <c r="F100" s="243" t="s">
        <v>1019</v>
      </c>
    </row>
    <row r="101" spans="1:6" x14ac:dyDescent="0.3">
      <c r="A101" s="273">
        <v>100</v>
      </c>
      <c r="B101" s="243" t="s">
        <v>696</v>
      </c>
      <c r="C101" s="243" t="s">
        <v>697</v>
      </c>
      <c r="D101" s="243" t="s">
        <v>981</v>
      </c>
      <c r="E101" s="274" t="s">
        <v>627</v>
      </c>
      <c r="F101" s="243" t="s">
        <v>1019</v>
      </c>
    </row>
    <row r="102" spans="1:6" x14ac:dyDescent="0.3">
      <c r="A102" s="273">
        <v>101</v>
      </c>
      <c r="B102" s="243" t="s">
        <v>704</v>
      </c>
      <c r="C102" s="243" t="s">
        <v>705</v>
      </c>
      <c r="D102" s="243" t="s">
        <v>981</v>
      </c>
      <c r="E102" s="274" t="s">
        <v>627</v>
      </c>
      <c r="F102" s="243" t="s">
        <v>1019</v>
      </c>
    </row>
    <row r="103" spans="1:6" x14ac:dyDescent="0.3">
      <c r="A103" s="273">
        <v>102</v>
      </c>
      <c r="B103" s="243" t="s">
        <v>706</v>
      </c>
      <c r="C103" s="243" t="s">
        <v>707</v>
      </c>
      <c r="D103" s="243" t="s">
        <v>981</v>
      </c>
      <c r="E103" s="274" t="s">
        <v>627</v>
      </c>
      <c r="F103" s="243" t="s">
        <v>1019</v>
      </c>
    </row>
    <row r="104" spans="1:6" x14ac:dyDescent="0.3">
      <c r="A104" s="273">
        <v>103</v>
      </c>
      <c r="B104" s="243" t="s">
        <v>1042</v>
      </c>
      <c r="C104" s="243" t="s">
        <v>1043</v>
      </c>
      <c r="D104" s="243" t="s">
        <v>981</v>
      </c>
      <c r="E104" s="274" t="s">
        <v>1022</v>
      </c>
      <c r="F104" s="243" t="s">
        <v>1019</v>
      </c>
    </row>
    <row r="105" spans="1:6" x14ac:dyDescent="0.3">
      <c r="A105" s="273">
        <v>104</v>
      </c>
      <c r="B105" s="243" t="s">
        <v>1044</v>
      </c>
      <c r="C105" s="243" t="s">
        <v>1045</v>
      </c>
      <c r="D105" s="243" t="s">
        <v>981</v>
      </c>
      <c r="E105" s="274" t="s">
        <v>1022</v>
      </c>
      <c r="F105" s="243" t="s">
        <v>1019</v>
      </c>
    </row>
    <row r="106" spans="1:6" x14ac:dyDescent="0.3">
      <c r="A106" s="273">
        <v>105</v>
      </c>
      <c r="B106" s="243" t="s">
        <v>712</v>
      </c>
      <c r="C106" s="243" t="s">
        <v>713</v>
      </c>
      <c r="D106" s="243" t="s">
        <v>981</v>
      </c>
      <c r="E106" s="274" t="s">
        <v>627</v>
      </c>
      <c r="F106" s="243" t="s">
        <v>1019</v>
      </c>
    </row>
    <row r="107" spans="1:6" x14ac:dyDescent="0.3">
      <c r="A107" s="273">
        <v>106</v>
      </c>
      <c r="B107" s="243" t="s">
        <v>1046</v>
      </c>
      <c r="C107" s="243" t="s">
        <v>1047</v>
      </c>
      <c r="D107" s="243" t="s">
        <v>967</v>
      </c>
      <c r="E107" s="274" t="s">
        <v>1048</v>
      </c>
      <c r="F107" s="243" t="s">
        <v>969</v>
      </c>
    </row>
    <row r="108" spans="1:6" x14ac:dyDescent="0.3">
      <c r="A108" s="273">
        <v>107</v>
      </c>
      <c r="B108" s="243" t="s">
        <v>1049</v>
      </c>
      <c r="C108" s="243" t="s">
        <v>840</v>
      </c>
      <c r="D108" s="243" t="s">
        <v>1007</v>
      </c>
      <c r="E108" s="274" t="s">
        <v>841</v>
      </c>
      <c r="F108" s="243" t="s">
        <v>969</v>
      </c>
    </row>
    <row r="109" spans="1:6" x14ac:dyDescent="0.3">
      <c r="A109" s="273">
        <v>108</v>
      </c>
      <c r="B109" s="243" t="s">
        <v>838</v>
      </c>
      <c r="C109" s="243" t="s">
        <v>839</v>
      </c>
      <c r="D109" s="243" t="s">
        <v>1017</v>
      </c>
      <c r="E109" s="274" t="s">
        <v>1033</v>
      </c>
      <c r="F109" s="243" t="s">
        <v>969</v>
      </c>
    </row>
    <row r="110" spans="1:6" x14ac:dyDescent="0.3">
      <c r="A110" s="273">
        <v>109</v>
      </c>
      <c r="B110" s="243" t="s">
        <v>1050</v>
      </c>
      <c r="C110" s="243" t="s">
        <v>1051</v>
      </c>
      <c r="D110" s="243" t="s">
        <v>981</v>
      </c>
      <c r="E110" s="274" t="s">
        <v>1022</v>
      </c>
      <c r="F110" s="243" t="s">
        <v>969</v>
      </c>
    </row>
    <row r="111" spans="1:6" x14ac:dyDescent="0.3">
      <c r="A111" s="273">
        <v>110</v>
      </c>
      <c r="B111" s="243" t="s">
        <v>1052</v>
      </c>
      <c r="C111" s="243" t="s">
        <v>1053</v>
      </c>
      <c r="D111" s="243" t="s">
        <v>1054</v>
      </c>
      <c r="E111" s="274" t="s">
        <v>1055</v>
      </c>
      <c r="F111" s="243" t="s">
        <v>969</v>
      </c>
    </row>
    <row r="112" spans="1:6" x14ac:dyDescent="0.3">
      <c r="A112" s="273">
        <v>111</v>
      </c>
      <c r="B112" s="243" t="s">
        <v>1056</v>
      </c>
      <c r="C112" s="243" t="s">
        <v>1057</v>
      </c>
      <c r="D112" s="243" t="s">
        <v>1054</v>
      </c>
      <c r="E112" s="274" t="s">
        <v>1048</v>
      </c>
      <c r="F112" s="243" t="s">
        <v>969</v>
      </c>
    </row>
    <row r="113" spans="1:6" x14ac:dyDescent="0.3">
      <c r="A113" s="273">
        <v>112</v>
      </c>
      <c r="B113" s="243" t="s">
        <v>1058</v>
      </c>
      <c r="C113" s="243" t="s">
        <v>1059</v>
      </c>
      <c r="D113" s="243" t="s">
        <v>978</v>
      </c>
      <c r="E113" s="274" t="s">
        <v>1060</v>
      </c>
      <c r="F113" s="243" t="s">
        <v>969</v>
      </c>
    </row>
    <row r="114" spans="1:6" x14ac:dyDescent="0.3">
      <c r="A114" s="279">
        <v>113</v>
      </c>
      <c r="B114" s="243" t="s">
        <v>1061</v>
      </c>
      <c r="C114" s="144" t="s">
        <v>1062</v>
      </c>
      <c r="D114" s="243" t="s">
        <v>1054</v>
      </c>
      <c r="E114" s="143" t="s">
        <v>1022</v>
      </c>
      <c r="F114" s="243" t="s">
        <v>969</v>
      </c>
    </row>
  </sheetData>
  <sheetProtection algorithmName="SHA-512" hashValue="EssDacFDnc089K8DYw82W/yW3w46Bfv6YGkz6HJV2MTvu/9U58++emXfB5oyZvJelVtpYP4jexYSwTTKpgYK0A==" saltValue="aw1WoG9CNS3La6Wh995RuQ==" spinCount="100000" sheet="1" objects="1" scenarios="1"/>
  <conditionalFormatting sqref="A2:A114">
    <cfRule type="duplicateValues" dxfId="107" priority="11"/>
    <cfRule type="duplicateValues" dxfId="106" priority="12"/>
  </conditionalFormatting>
  <conditionalFormatting sqref="B1">
    <cfRule type="duplicateValues" dxfId="105" priority="9"/>
    <cfRule type="duplicateValues" dxfId="104" priority="10"/>
  </conditionalFormatting>
  <conditionalFormatting sqref="B2:B107 B110:B114">
    <cfRule type="duplicateValues" dxfId="103" priority="13"/>
    <cfRule type="duplicateValues" dxfId="102" priority="14"/>
  </conditionalFormatting>
  <conditionalFormatting sqref="B65:B107 B110:B114">
    <cfRule type="duplicateValues" dxfId="101" priority="5"/>
  </conditionalFormatting>
  <conditionalFormatting sqref="B77:B107 B65:B75 B110:B114">
    <cfRule type="duplicateValues" dxfId="100" priority="6"/>
  </conditionalFormatting>
  <conditionalFormatting sqref="B108:B109">
    <cfRule type="duplicateValues" dxfId="99" priority="1"/>
    <cfRule type="duplicateValues" dxfId="98" priority="2"/>
    <cfRule type="duplicateValues" dxfId="97" priority="3"/>
    <cfRule type="duplicateValues" dxfId="96" priority="4"/>
  </conditionalFormatting>
  <conditionalFormatting sqref="C65:C75 C77:C107 C110:C114">
    <cfRule type="duplicateValues" dxfId="95" priority="15"/>
  </conditionalFormatting>
  <conditionalFormatting sqref="C65:C107 C110:C114">
    <cfRule type="duplicateValues" dxfId="94" priority="16"/>
  </conditionalFormatting>
  <conditionalFormatting sqref="C108:C109">
    <cfRule type="duplicateValues" dxfId="93" priority="17"/>
    <cfRule type="duplicateValues" dxfId="92" priority="18"/>
  </conditionalFormatting>
  <conditionalFormatting sqref="C1:F1">
    <cfRule type="duplicateValues" dxfId="91" priority="7"/>
    <cfRule type="duplicateValues" dxfId="90" priority="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AE0C-41BF-405C-8043-BE80B79E1019}">
  <dimension ref="A1:A5"/>
  <sheetViews>
    <sheetView zoomScale="80" zoomScaleNormal="80" workbookViewId="0">
      <selection activeCell="A6" sqref="A6"/>
    </sheetView>
  </sheetViews>
  <sheetFormatPr defaultRowHeight="14.4" x14ac:dyDescent="0.3"/>
  <sheetData>
    <row r="1" spans="1:1" x14ac:dyDescent="0.3">
      <c r="A1">
        <v>1</v>
      </c>
    </row>
    <row r="2" spans="1:1" x14ac:dyDescent="0.3">
      <c r="A2">
        <v>2</v>
      </c>
    </row>
    <row r="3" spans="1:1" x14ac:dyDescent="0.3">
      <c r="A3">
        <v>3</v>
      </c>
    </row>
    <row r="4" spans="1:1" x14ac:dyDescent="0.3">
      <c r="A4">
        <v>4</v>
      </c>
    </row>
    <row r="5" spans="1:1" x14ac:dyDescent="0.3">
      <c r="A5">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FE51-3E88-4E1C-A354-7B6B07018DBE}">
  <dimension ref="A1:K1059"/>
  <sheetViews>
    <sheetView workbookViewId="0">
      <selection activeCell="G9" sqref="G9"/>
    </sheetView>
  </sheetViews>
  <sheetFormatPr defaultColWidth="7.6640625" defaultRowHeight="14.4" x14ac:dyDescent="0.3"/>
  <sheetData>
    <row r="1" spans="1:11" x14ac:dyDescent="0.3">
      <c r="A1" s="23"/>
      <c r="B1" s="23"/>
      <c r="C1" s="23"/>
      <c r="D1" s="23"/>
      <c r="E1" s="23"/>
      <c r="F1" s="23"/>
      <c r="G1" s="23"/>
      <c r="H1" s="23"/>
      <c r="I1" s="23"/>
      <c r="J1" s="23"/>
      <c r="K1" s="23"/>
    </row>
    <row r="2" spans="1:11" x14ac:dyDescent="0.3">
      <c r="A2" s="24"/>
      <c r="E2" s="85"/>
      <c r="F2" s="69"/>
      <c r="G2" s="25"/>
      <c r="H2" s="26"/>
    </row>
    <row r="3" spans="1:11" x14ac:dyDescent="0.3">
      <c r="A3" s="24"/>
      <c r="E3" s="85"/>
      <c r="F3" s="69"/>
      <c r="G3" s="25"/>
      <c r="H3" s="26"/>
    </row>
    <row r="4" spans="1:11" x14ac:dyDescent="0.3">
      <c r="A4" s="24"/>
      <c r="E4" s="85"/>
      <c r="F4" s="82"/>
      <c r="G4" s="25"/>
      <c r="H4" s="25"/>
    </row>
    <row r="5" spans="1:11" x14ac:dyDescent="0.3">
      <c r="A5" s="24"/>
      <c r="E5" s="85"/>
      <c r="F5" s="82"/>
      <c r="G5" s="25"/>
      <c r="H5" s="25"/>
    </row>
    <row r="6" spans="1:11" x14ac:dyDescent="0.3">
      <c r="A6" s="24"/>
      <c r="E6" s="85"/>
      <c r="F6" s="82"/>
      <c r="G6" s="25"/>
      <c r="H6" s="25"/>
    </row>
    <row r="7" spans="1:11" x14ac:dyDescent="0.3">
      <c r="A7" s="24"/>
      <c r="E7" s="85"/>
      <c r="F7" s="82"/>
      <c r="G7" s="25"/>
      <c r="H7" s="25"/>
    </row>
    <row r="8" spans="1:11" x14ac:dyDescent="0.3">
      <c r="A8" s="24"/>
      <c r="E8" s="81"/>
      <c r="F8" s="82"/>
      <c r="G8" s="25"/>
      <c r="H8" s="25"/>
    </row>
    <row r="9" spans="1:11" x14ac:dyDescent="0.3">
      <c r="A9" s="24"/>
      <c r="E9" s="81"/>
      <c r="F9" s="82"/>
      <c r="G9" s="25"/>
      <c r="H9" s="25"/>
    </row>
    <row r="10" spans="1:11" x14ac:dyDescent="0.3">
      <c r="A10" s="24"/>
      <c r="E10" s="81"/>
      <c r="F10" s="82"/>
      <c r="G10" s="25"/>
      <c r="H10" s="25"/>
    </row>
    <row r="11" spans="1:11" x14ac:dyDescent="0.3">
      <c r="A11" s="24"/>
      <c r="E11" s="81"/>
      <c r="F11" s="82"/>
      <c r="G11" s="25"/>
      <c r="H11" s="25"/>
    </row>
    <row r="12" spans="1:11" x14ac:dyDescent="0.3">
      <c r="A12" s="24"/>
      <c r="E12" s="81"/>
      <c r="F12" s="82"/>
      <c r="G12" s="25"/>
      <c r="H12" s="25"/>
    </row>
    <row r="13" spans="1:11" x14ac:dyDescent="0.3">
      <c r="A13" s="24"/>
      <c r="E13" s="81"/>
      <c r="F13" s="82"/>
      <c r="G13" s="25"/>
      <c r="H13" s="25"/>
    </row>
    <row r="14" spans="1:11" x14ac:dyDescent="0.3">
      <c r="A14" s="24"/>
      <c r="E14" s="81"/>
      <c r="F14" s="82"/>
      <c r="G14" s="25"/>
      <c r="H14" s="25"/>
    </row>
    <row r="15" spans="1:11" x14ac:dyDescent="0.3">
      <c r="A15" s="24"/>
      <c r="E15" s="81"/>
      <c r="F15" s="82"/>
      <c r="G15" s="25"/>
      <c r="H15" s="25"/>
    </row>
    <row r="16" spans="1:11" x14ac:dyDescent="0.3">
      <c r="A16" s="24"/>
      <c r="E16" s="81"/>
      <c r="F16" s="82"/>
      <c r="G16" s="25"/>
      <c r="H16" s="25"/>
    </row>
    <row r="17" spans="1:8" x14ac:dyDescent="0.3">
      <c r="A17" s="24"/>
      <c r="E17" s="81"/>
      <c r="F17" s="82"/>
      <c r="G17" s="25"/>
      <c r="H17" s="25"/>
    </row>
    <row r="18" spans="1:8" x14ac:dyDescent="0.3">
      <c r="A18" s="24"/>
      <c r="E18" s="81"/>
      <c r="F18" s="82"/>
      <c r="G18" s="25"/>
      <c r="H18" s="25"/>
    </row>
    <row r="19" spans="1:8" x14ac:dyDescent="0.3">
      <c r="A19" s="24"/>
      <c r="E19" s="81"/>
      <c r="F19" s="82"/>
      <c r="G19" s="25"/>
      <c r="H19" s="25"/>
    </row>
    <row r="20" spans="1:8" x14ac:dyDescent="0.3">
      <c r="A20" s="24"/>
      <c r="E20" s="85"/>
      <c r="F20" s="69"/>
      <c r="G20" s="25"/>
      <c r="H20" s="26"/>
    </row>
    <row r="21" spans="1:8" x14ac:dyDescent="0.3">
      <c r="A21" s="24"/>
      <c r="E21" s="85"/>
      <c r="F21" s="69"/>
      <c r="G21" s="25"/>
      <c r="H21" s="26"/>
    </row>
    <row r="22" spans="1:8" x14ac:dyDescent="0.3">
      <c r="A22" s="24"/>
      <c r="E22" s="85"/>
      <c r="F22" s="82"/>
      <c r="G22" s="25"/>
      <c r="H22" s="25"/>
    </row>
    <row r="23" spans="1:8" x14ac:dyDescent="0.3">
      <c r="A23" s="24"/>
      <c r="E23" s="85"/>
      <c r="F23" s="82"/>
      <c r="G23" s="25"/>
      <c r="H23" s="25"/>
    </row>
    <row r="24" spans="1:8" x14ac:dyDescent="0.3">
      <c r="A24" s="24"/>
      <c r="E24" s="85"/>
      <c r="F24" s="82"/>
      <c r="G24" s="25"/>
      <c r="H24" s="25"/>
    </row>
    <row r="25" spans="1:8" x14ac:dyDescent="0.3">
      <c r="A25" s="24"/>
      <c r="E25" s="85"/>
      <c r="F25" s="82"/>
      <c r="G25" s="25"/>
      <c r="H25" s="25"/>
    </row>
    <row r="26" spans="1:8" x14ac:dyDescent="0.3">
      <c r="A26" s="24"/>
      <c r="E26" s="81"/>
      <c r="F26" s="82"/>
      <c r="G26" s="25"/>
      <c r="H26" s="25"/>
    </row>
    <row r="27" spans="1:8" x14ac:dyDescent="0.3">
      <c r="A27" s="24"/>
      <c r="E27" s="81"/>
      <c r="F27" s="82"/>
      <c r="G27" s="25"/>
      <c r="H27" s="25"/>
    </row>
    <row r="28" spans="1:8" x14ac:dyDescent="0.3">
      <c r="A28" s="24"/>
      <c r="E28" s="81"/>
      <c r="F28" s="82"/>
      <c r="G28" s="25"/>
      <c r="H28" s="25"/>
    </row>
    <row r="29" spans="1:8" x14ac:dyDescent="0.3">
      <c r="A29" s="24"/>
      <c r="E29" s="81"/>
      <c r="F29" s="82"/>
      <c r="G29" s="25"/>
      <c r="H29" s="25"/>
    </row>
    <row r="30" spans="1:8" x14ac:dyDescent="0.3">
      <c r="A30" s="24"/>
      <c r="E30" s="81"/>
      <c r="F30" s="82"/>
      <c r="G30" s="25"/>
      <c r="H30" s="25"/>
    </row>
    <row r="31" spans="1:8" x14ac:dyDescent="0.3">
      <c r="A31" s="24"/>
      <c r="E31" s="81"/>
      <c r="F31" s="82"/>
      <c r="G31" s="25"/>
      <c r="H31" s="25"/>
    </row>
    <row r="32" spans="1:8" x14ac:dyDescent="0.3">
      <c r="A32" s="24"/>
      <c r="E32" s="81"/>
      <c r="F32" s="82"/>
      <c r="G32" s="25"/>
      <c r="H32" s="25"/>
    </row>
    <row r="33" spans="1:8" x14ac:dyDescent="0.3">
      <c r="A33" s="24"/>
      <c r="E33" s="81"/>
      <c r="F33" s="82"/>
      <c r="G33" s="25"/>
      <c r="H33" s="25"/>
    </row>
    <row r="34" spans="1:8" x14ac:dyDescent="0.3">
      <c r="A34" s="24"/>
      <c r="E34" s="81"/>
      <c r="F34" s="82"/>
      <c r="G34" s="25"/>
      <c r="H34" s="25"/>
    </row>
    <row r="35" spans="1:8" x14ac:dyDescent="0.3">
      <c r="A35" s="24"/>
      <c r="E35" s="81"/>
      <c r="F35" s="82"/>
      <c r="G35" s="25"/>
      <c r="H35" s="25"/>
    </row>
    <row r="36" spans="1:8" x14ac:dyDescent="0.3">
      <c r="A36" s="24"/>
      <c r="E36" s="81"/>
      <c r="F36" s="82"/>
      <c r="G36" s="25"/>
      <c r="H36" s="25"/>
    </row>
    <row r="37" spans="1:8" x14ac:dyDescent="0.3">
      <c r="A37" s="24"/>
      <c r="E37" s="85"/>
      <c r="F37" s="82"/>
      <c r="G37" s="25"/>
      <c r="H37" s="26"/>
    </row>
    <row r="38" spans="1:8" x14ac:dyDescent="0.3">
      <c r="A38" s="24"/>
      <c r="E38" s="85"/>
      <c r="F38" s="82"/>
      <c r="G38" s="25"/>
      <c r="H38" s="26"/>
    </row>
    <row r="39" spans="1:8" x14ac:dyDescent="0.3">
      <c r="A39" s="24"/>
      <c r="E39" s="85"/>
      <c r="F39" s="82"/>
      <c r="G39" s="25"/>
      <c r="H39" s="25"/>
    </row>
    <row r="40" spans="1:8" x14ac:dyDescent="0.3">
      <c r="A40" s="24"/>
      <c r="E40" s="85"/>
      <c r="F40" s="82"/>
      <c r="G40" s="25"/>
      <c r="H40" s="25"/>
    </row>
    <row r="41" spans="1:8" x14ac:dyDescent="0.3">
      <c r="A41" s="24"/>
      <c r="E41" s="85"/>
      <c r="F41" s="82"/>
      <c r="G41" s="25"/>
      <c r="H41" s="25"/>
    </row>
    <row r="42" spans="1:8" x14ac:dyDescent="0.3">
      <c r="A42" s="24"/>
      <c r="E42" s="85"/>
      <c r="F42" s="82"/>
      <c r="G42" s="25"/>
      <c r="H42" s="25"/>
    </row>
    <row r="43" spans="1:8" x14ac:dyDescent="0.3">
      <c r="A43" s="24"/>
      <c r="E43" s="81"/>
      <c r="F43" s="82"/>
      <c r="G43" s="25"/>
      <c r="H43" s="25"/>
    </row>
    <row r="44" spans="1:8" x14ac:dyDescent="0.3">
      <c r="A44" s="24"/>
      <c r="E44" s="81"/>
      <c r="F44" s="82"/>
      <c r="G44" s="25"/>
      <c r="H44" s="25"/>
    </row>
    <row r="45" spans="1:8" x14ac:dyDescent="0.3">
      <c r="A45" s="24"/>
      <c r="E45" s="81"/>
      <c r="F45" s="82"/>
      <c r="G45" s="25"/>
      <c r="H45" s="25"/>
    </row>
    <row r="46" spans="1:8" x14ac:dyDescent="0.3">
      <c r="A46" s="24"/>
      <c r="E46" s="81"/>
      <c r="F46" s="82"/>
      <c r="G46" s="25"/>
      <c r="H46" s="25"/>
    </row>
    <row r="47" spans="1:8" x14ac:dyDescent="0.3">
      <c r="A47" s="24"/>
      <c r="E47" s="81"/>
      <c r="F47" s="82"/>
      <c r="G47" s="25"/>
      <c r="H47" s="25"/>
    </row>
    <row r="48" spans="1:8" x14ac:dyDescent="0.3">
      <c r="A48" s="24"/>
      <c r="E48" s="81"/>
      <c r="F48" s="82"/>
      <c r="G48" s="25"/>
      <c r="H48" s="25"/>
    </row>
    <row r="49" spans="1:8" x14ac:dyDescent="0.3">
      <c r="A49" s="24"/>
      <c r="E49" s="81"/>
      <c r="F49" s="82"/>
      <c r="G49" s="25"/>
      <c r="H49" s="25"/>
    </row>
    <row r="50" spans="1:8" x14ac:dyDescent="0.3">
      <c r="A50" s="24"/>
      <c r="E50" s="81"/>
      <c r="F50" s="82"/>
      <c r="G50" s="25"/>
      <c r="H50" s="25"/>
    </row>
    <row r="51" spans="1:8" x14ac:dyDescent="0.3">
      <c r="A51" s="24"/>
      <c r="E51" s="81"/>
      <c r="F51" s="82"/>
      <c r="G51" s="25"/>
      <c r="H51" s="25"/>
    </row>
    <row r="52" spans="1:8" x14ac:dyDescent="0.3">
      <c r="A52" s="24"/>
      <c r="E52" s="81"/>
      <c r="F52" s="82"/>
      <c r="G52" s="25"/>
      <c r="H52" s="25"/>
    </row>
    <row r="53" spans="1:8" x14ac:dyDescent="0.3">
      <c r="A53" s="24"/>
      <c r="E53" s="81"/>
      <c r="F53" s="82"/>
      <c r="G53" s="25"/>
      <c r="H53" s="25"/>
    </row>
    <row r="54" spans="1:8" x14ac:dyDescent="0.3">
      <c r="A54" s="24"/>
      <c r="E54" s="81"/>
      <c r="F54" s="82"/>
      <c r="G54" s="25"/>
      <c r="H54" s="25"/>
    </row>
    <row r="55" spans="1:8" x14ac:dyDescent="0.3">
      <c r="A55" s="24"/>
      <c r="E55" s="81"/>
      <c r="F55" s="82"/>
      <c r="G55" s="25"/>
      <c r="H55" s="26"/>
    </row>
    <row r="56" spans="1:8" x14ac:dyDescent="0.3">
      <c r="A56" s="24"/>
      <c r="E56" s="81"/>
      <c r="F56" s="82"/>
      <c r="G56" s="25"/>
      <c r="H56" s="26"/>
    </row>
    <row r="57" spans="1:8" x14ac:dyDescent="0.3">
      <c r="A57" s="24"/>
      <c r="E57" s="81"/>
      <c r="F57" s="82"/>
      <c r="G57" s="25"/>
      <c r="H57" s="25"/>
    </row>
    <row r="58" spans="1:8" x14ac:dyDescent="0.3">
      <c r="A58" s="24"/>
      <c r="E58" s="81"/>
      <c r="F58" s="82"/>
      <c r="G58" s="25"/>
      <c r="H58" s="25"/>
    </row>
    <row r="59" spans="1:8" x14ac:dyDescent="0.3">
      <c r="A59" s="24"/>
      <c r="E59" s="81"/>
      <c r="F59" s="82"/>
      <c r="G59" s="25"/>
      <c r="H59" s="25"/>
    </row>
    <row r="60" spans="1:8" x14ac:dyDescent="0.3">
      <c r="A60" s="24"/>
      <c r="E60" s="81"/>
      <c r="F60" s="82"/>
      <c r="G60" s="25"/>
      <c r="H60" s="25"/>
    </row>
    <row r="61" spans="1:8" x14ac:dyDescent="0.3">
      <c r="A61" s="24"/>
      <c r="E61" s="81"/>
      <c r="F61" s="82"/>
      <c r="G61" s="25"/>
      <c r="H61" s="25"/>
    </row>
    <row r="62" spans="1:8" x14ac:dyDescent="0.3">
      <c r="A62" s="24"/>
      <c r="E62" s="81"/>
      <c r="F62" s="82"/>
      <c r="G62" s="25"/>
      <c r="H62" s="25"/>
    </row>
    <row r="63" spans="1:8" x14ac:dyDescent="0.3">
      <c r="A63" s="24"/>
      <c r="E63" s="81"/>
      <c r="F63" s="82"/>
      <c r="G63" s="25"/>
      <c r="H63" s="25"/>
    </row>
    <row r="64" spans="1:8" x14ac:dyDescent="0.3">
      <c r="A64" s="24"/>
      <c r="E64" s="81"/>
      <c r="F64" s="82"/>
      <c r="G64" s="25"/>
      <c r="H64" s="25"/>
    </row>
    <row r="65" spans="1:8" x14ac:dyDescent="0.3">
      <c r="A65" s="24"/>
      <c r="E65" s="81"/>
      <c r="F65" s="82"/>
      <c r="G65" s="25"/>
      <c r="H65" s="25"/>
    </row>
    <row r="66" spans="1:8" x14ac:dyDescent="0.3">
      <c r="A66" s="24"/>
      <c r="E66" s="81"/>
      <c r="F66" s="82"/>
      <c r="G66" s="25"/>
      <c r="H66" s="25"/>
    </row>
    <row r="67" spans="1:8" x14ac:dyDescent="0.3">
      <c r="A67" s="24"/>
      <c r="E67" s="81"/>
      <c r="F67" s="82"/>
      <c r="G67" s="25"/>
      <c r="H67" s="25"/>
    </row>
    <row r="68" spans="1:8" x14ac:dyDescent="0.3">
      <c r="A68" s="24"/>
      <c r="E68" s="81"/>
      <c r="F68" s="82"/>
      <c r="G68" s="25"/>
      <c r="H68" s="25"/>
    </row>
    <row r="69" spans="1:8" x14ac:dyDescent="0.3">
      <c r="A69" s="24"/>
      <c r="E69" s="81"/>
      <c r="F69" s="82"/>
      <c r="G69" s="25"/>
      <c r="H69" s="25"/>
    </row>
    <row r="70" spans="1:8" x14ac:dyDescent="0.3">
      <c r="A70" s="24"/>
      <c r="E70" s="81"/>
      <c r="F70" s="82"/>
      <c r="G70" s="25"/>
      <c r="H70" s="25"/>
    </row>
    <row r="71" spans="1:8" x14ac:dyDescent="0.3">
      <c r="A71" s="24"/>
      <c r="E71" s="81"/>
      <c r="F71" s="82"/>
      <c r="G71" s="25"/>
      <c r="H71" s="25"/>
    </row>
    <row r="72" spans="1:8" x14ac:dyDescent="0.3">
      <c r="A72" s="24"/>
      <c r="E72" s="81"/>
      <c r="F72" s="82"/>
      <c r="G72" s="25"/>
      <c r="H72" s="25"/>
    </row>
    <row r="73" spans="1:8" x14ac:dyDescent="0.3">
      <c r="A73" s="24"/>
      <c r="E73" s="81"/>
      <c r="F73" s="82"/>
      <c r="G73" s="25"/>
      <c r="H73" s="25"/>
    </row>
    <row r="74" spans="1:8" x14ac:dyDescent="0.3">
      <c r="A74" s="24"/>
      <c r="E74" s="85"/>
      <c r="F74" s="82"/>
      <c r="G74" s="25"/>
      <c r="H74" s="26"/>
    </row>
    <row r="75" spans="1:8" x14ac:dyDescent="0.3">
      <c r="A75" s="24"/>
      <c r="E75" s="85"/>
      <c r="F75" s="82"/>
      <c r="G75" s="25"/>
      <c r="H75" s="26"/>
    </row>
    <row r="76" spans="1:8" x14ac:dyDescent="0.3">
      <c r="A76" s="24"/>
      <c r="E76" s="85"/>
      <c r="F76" s="82"/>
      <c r="G76" s="25"/>
      <c r="H76" s="25"/>
    </row>
    <row r="77" spans="1:8" x14ac:dyDescent="0.3">
      <c r="A77" s="24"/>
      <c r="E77" s="85"/>
      <c r="F77" s="82"/>
      <c r="G77" s="25"/>
      <c r="H77" s="25"/>
    </row>
    <row r="78" spans="1:8" x14ac:dyDescent="0.3">
      <c r="A78" s="24"/>
      <c r="E78" s="85"/>
      <c r="F78" s="82"/>
      <c r="G78" s="25"/>
      <c r="H78" s="25"/>
    </row>
    <row r="79" spans="1:8" x14ac:dyDescent="0.3">
      <c r="A79" s="24"/>
      <c r="E79" s="85"/>
      <c r="F79" s="82"/>
      <c r="G79" s="25"/>
      <c r="H79" s="25"/>
    </row>
    <row r="80" spans="1:8" x14ac:dyDescent="0.3">
      <c r="A80" s="24"/>
      <c r="E80" s="81"/>
      <c r="F80" s="82"/>
      <c r="G80" s="25"/>
      <c r="H80" s="25"/>
    </row>
    <row r="81" spans="1:8" x14ac:dyDescent="0.3">
      <c r="A81" s="24"/>
      <c r="E81" s="81"/>
      <c r="F81" s="82"/>
      <c r="G81" s="25"/>
      <c r="H81" s="25"/>
    </row>
    <row r="82" spans="1:8" x14ac:dyDescent="0.3">
      <c r="A82" s="24"/>
      <c r="E82" s="81"/>
      <c r="F82" s="82"/>
      <c r="G82" s="25"/>
      <c r="H82" s="25"/>
    </row>
    <row r="83" spans="1:8" x14ac:dyDescent="0.3">
      <c r="A83" s="24"/>
      <c r="E83" s="81"/>
      <c r="F83" s="82"/>
      <c r="G83" s="25"/>
      <c r="H83" s="25"/>
    </row>
    <row r="84" spans="1:8" x14ac:dyDescent="0.3">
      <c r="A84" s="24"/>
      <c r="E84" s="81"/>
      <c r="F84" s="82"/>
      <c r="G84" s="25"/>
      <c r="H84" s="25"/>
    </row>
    <row r="85" spans="1:8" x14ac:dyDescent="0.3">
      <c r="A85" s="24"/>
      <c r="E85" s="81"/>
      <c r="F85" s="82"/>
      <c r="G85" s="25"/>
      <c r="H85" s="25"/>
    </row>
    <row r="86" spans="1:8" x14ac:dyDescent="0.3">
      <c r="A86" s="24"/>
      <c r="E86" s="81"/>
      <c r="F86" s="82"/>
      <c r="G86" s="25"/>
      <c r="H86" s="25"/>
    </row>
    <row r="87" spans="1:8" x14ac:dyDescent="0.3">
      <c r="A87" s="24"/>
      <c r="E87" s="81"/>
      <c r="F87" s="82"/>
      <c r="G87" s="25"/>
      <c r="H87" s="25"/>
    </row>
    <row r="88" spans="1:8" x14ac:dyDescent="0.3">
      <c r="A88" s="24"/>
      <c r="E88" s="81"/>
      <c r="F88" s="82"/>
      <c r="G88" s="25"/>
      <c r="H88" s="25"/>
    </row>
    <row r="89" spans="1:8" x14ac:dyDescent="0.3">
      <c r="A89" s="24"/>
      <c r="E89" s="81"/>
      <c r="F89" s="82"/>
      <c r="G89" s="25"/>
      <c r="H89" s="25"/>
    </row>
    <row r="90" spans="1:8" x14ac:dyDescent="0.3">
      <c r="A90" s="24"/>
      <c r="E90" s="81"/>
      <c r="F90" s="82"/>
      <c r="G90" s="25"/>
      <c r="H90" s="25"/>
    </row>
    <row r="91" spans="1:8" x14ac:dyDescent="0.3">
      <c r="A91" s="24"/>
      <c r="E91" s="81"/>
      <c r="F91" s="82"/>
      <c r="G91" s="25"/>
      <c r="H91" s="25"/>
    </row>
    <row r="92" spans="1:8" x14ac:dyDescent="0.3">
      <c r="A92" s="24"/>
      <c r="E92" s="85"/>
      <c r="F92" s="82"/>
      <c r="G92" s="25"/>
      <c r="H92" s="26"/>
    </row>
    <row r="93" spans="1:8" x14ac:dyDescent="0.3">
      <c r="A93" s="24"/>
      <c r="E93" s="85"/>
      <c r="F93" s="82"/>
      <c r="G93" s="25"/>
      <c r="H93" s="26"/>
    </row>
    <row r="94" spans="1:8" x14ac:dyDescent="0.3">
      <c r="A94" s="24"/>
      <c r="E94" s="85"/>
      <c r="F94" s="82"/>
      <c r="G94" s="27"/>
      <c r="H94" s="25"/>
    </row>
    <row r="95" spans="1:8" x14ac:dyDescent="0.3">
      <c r="A95" s="24"/>
      <c r="E95" s="85"/>
      <c r="F95" s="82"/>
      <c r="G95" s="27"/>
      <c r="H95" s="25"/>
    </row>
    <row r="96" spans="1:8" x14ac:dyDescent="0.3">
      <c r="A96" s="24"/>
      <c r="E96" s="85"/>
      <c r="F96" s="82"/>
      <c r="G96" s="27"/>
      <c r="H96" s="25"/>
    </row>
    <row r="97" spans="1:8" x14ac:dyDescent="0.3">
      <c r="A97" s="24"/>
      <c r="E97" s="85"/>
      <c r="F97" s="82"/>
      <c r="G97" s="27"/>
      <c r="H97" s="25"/>
    </row>
    <row r="98" spans="1:8" x14ac:dyDescent="0.3">
      <c r="A98" s="24"/>
      <c r="E98" s="85"/>
      <c r="F98" s="82"/>
      <c r="G98" s="27"/>
      <c r="H98" s="25"/>
    </row>
    <row r="99" spans="1:8" x14ac:dyDescent="0.3">
      <c r="A99" s="24"/>
      <c r="E99" s="81"/>
      <c r="F99" s="82"/>
      <c r="G99" s="25"/>
      <c r="H99" s="25"/>
    </row>
    <row r="100" spans="1:8" x14ac:dyDescent="0.3">
      <c r="A100" s="24"/>
      <c r="E100" s="81"/>
      <c r="F100" s="82"/>
      <c r="G100" s="25"/>
      <c r="H100" s="25"/>
    </row>
    <row r="101" spans="1:8" x14ac:dyDescent="0.3">
      <c r="A101" s="24"/>
      <c r="E101" s="81"/>
      <c r="F101" s="82"/>
      <c r="G101" s="25"/>
      <c r="H101" s="25"/>
    </row>
    <row r="102" spans="1:8" x14ac:dyDescent="0.3">
      <c r="A102" s="24"/>
      <c r="E102" s="81"/>
      <c r="F102" s="82"/>
      <c r="G102" s="25"/>
      <c r="H102" s="25"/>
    </row>
    <row r="103" spans="1:8" x14ac:dyDescent="0.3">
      <c r="A103" s="24"/>
      <c r="E103" s="81"/>
      <c r="F103" s="82"/>
      <c r="G103" s="25"/>
      <c r="H103" s="25"/>
    </row>
    <row r="104" spans="1:8" x14ac:dyDescent="0.3">
      <c r="A104" s="24"/>
      <c r="E104" s="81"/>
      <c r="F104" s="82"/>
      <c r="G104" s="25"/>
      <c r="H104" s="25"/>
    </row>
    <row r="105" spans="1:8" x14ac:dyDescent="0.3">
      <c r="A105" s="24"/>
      <c r="E105" s="81"/>
      <c r="F105" s="82"/>
      <c r="G105" s="25"/>
      <c r="H105" s="25"/>
    </row>
    <row r="106" spans="1:8" x14ac:dyDescent="0.3">
      <c r="A106" s="24"/>
      <c r="E106" s="81"/>
      <c r="F106" s="82"/>
      <c r="G106" s="25"/>
      <c r="H106" s="25"/>
    </row>
    <row r="107" spans="1:8" x14ac:dyDescent="0.3">
      <c r="A107" s="24"/>
      <c r="E107" s="81"/>
      <c r="F107" s="82"/>
      <c r="G107" s="25"/>
      <c r="H107" s="25"/>
    </row>
    <row r="108" spans="1:8" x14ac:dyDescent="0.3">
      <c r="A108" s="24"/>
      <c r="E108" s="81"/>
      <c r="F108" s="82"/>
      <c r="G108" s="25"/>
      <c r="H108" s="25"/>
    </row>
    <row r="109" spans="1:8" x14ac:dyDescent="0.3">
      <c r="A109" s="24"/>
      <c r="E109" s="81"/>
      <c r="F109" s="82"/>
      <c r="G109" s="25"/>
      <c r="H109" s="25"/>
    </row>
    <row r="110" spans="1:8" x14ac:dyDescent="0.3">
      <c r="A110" s="24"/>
      <c r="E110" s="85"/>
      <c r="F110" s="82"/>
      <c r="G110" s="25"/>
      <c r="H110" s="26"/>
    </row>
    <row r="111" spans="1:8" x14ac:dyDescent="0.3">
      <c r="A111" s="24"/>
      <c r="E111" s="85"/>
      <c r="F111" s="82"/>
      <c r="G111" s="25"/>
      <c r="H111" s="26"/>
    </row>
    <row r="112" spans="1:8" x14ac:dyDescent="0.3">
      <c r="A112" s="24"/>
      <c r="E112" s="85"/>
      <c r="F112" s="82"/>
      <c r="G112" s="25"/>
      <c r="H112" s="25"/>
    </row>
    <row r="113" spans="1:10" x14ac:dyDescent="0.3">
      <c r="A113" s="24"/>
      <c r="E113" s="85"/>
      <c r="F113" s="82"/>
      <c r="G113" s="25"/>
      <c r="H113" s="25"/>
    </row>
    <row r="114" spans="1:10" x14ac:dyDescent="0.3">
      <c r="A114" s="24"/>
      <c r="E114" s="85"/>
      <c r="F114" s="82"/>
      <c r="G114" s="25"/>
      <c r="H114" s="25"/>
    </row>
    <row r="115" spans="1:10" x14ac:dyDescent="0.3">
      <c r="A115" s="24"/>
      <c r="E115" s="85"/>
      <c r="F115" s="82"/>
      <c r="G115" s="25"/>
      <c r="H115" s="25"/>
    </row>
    <row r="116" spans="1:10" x14ac:dyDescent="0.3">
      <c r="A116" s="24"/>
      <c r="E116" s="81"/>
      <c r="F116" s="82"/>
      <c r="G116" s="25"/>
      <c r="H116" s="25"/>
    </row>
    <row r="117" spans="1:10" x14ac:dyDescent="0.3">
      <c r="A117" s="24"/>
      <c r="E117" s="81"/>
      <c r="F117" s="82"/>
      <c r="G117" s="25"/>
      <c r="H117" s="25"/>
    </row>
    <row r="118" spans="1:10" x14ac:dyDescent="0.3">
      <c r="A118" s="24"/>
      <c r="E118" s="81"/>
      <c r="F118" s="82"/>
      <c r="G118" s="25"/>
      <c r="H118" s="25"/>
    </row>
    <row r="119" spans="1:10" x14ac:dyDescent="0.3">
      <c r="A119" s="24"/>
      <c r="E119" s="81"/>
      <c r="F119" s="82"/>
      <c r="G119" s="25"/>
      <c r="H119" s="25"/>
    </row>
    <row r="120" spans="1:10" x14ac:dyDescent="0.3">
      <c r="A120" s="24"/>
      <c r="E120" s="81"/>
      <c r="F120" s="82"/>
      <c r="G120" s="25"/>
      <c r="H120" s="25"/>
    </row>
    <row r="121" spans="1:10" x14ac:dyDescent="0.3">
      <c r="A121" s="24"/>
      <c r="E121" s="81"/>
      <c r="F121" s="82"/>
      <c r="G121" s="25"/>
      <c r="H121" s="25"/>
    </row>
    <row r="122" spans="1:10" x14ac:dyDescent="0.3">
      <c r="A122" s="24"/>
      <c r="E122" s="81"/>
      <c r="F122" s="82"/>
      <c r="G122" s="25"/>
      <c r="H122" s="25"/>
    </row>
    <row r="123" spans="1:10" x14ac:dyDescent="0.3">
      <c r="A123" s="24"/>
      <c r="E123" s="81"/>
      <c r="F123" s="82"/>
      <c r="G123" s="25"/>
      <c r="H123" s="25"/>
    </row>
    <row r="124" spans="1:10" x14ac:dyDescent="0.3">
      <c r="A124" s="24"/>
      <c r="E124" s="81"/>
      <c r="F124" s="82"/>
      <c r="G124" s="25"/>
      <c r="H124" s="25"/>
    </row>
    <row r="125" spans="1:10" x14ac:dyDescent="0.3">
      <c r="A125" s="24"/>
      <c r="E125" s="81"/>
      <c r="F125" s="82"/>
      <c r="G125" s="25"/>
      <c r="H125" s="25"/>
    </row>
    <row r="126" spans="1:10" x14ac:dyDescent="0.3">
      <c r="A126" s="24"/>
      <c r="E126" s="81"/>
      <c r="F126" s="82"/>
      <c r="G126" s="25"/>
      <c r="H126" s="25"/>
    </row>
    <row r="127" spans="1:10" x14ac:dyDescent="0.3">
      <c r="A127" s="24"/>
      <c r="E127" s="81"/>
      <c r="F127" s="82"/>
      <c r="G127" s="25"/>
      <c r="H127" s="25"/>
    </row>
    <row r="128" spans="1:10" x14ac:dyDescent="0.3">
      <c r="A128" s="24"/>
      <c r="E128" s="30"/>
      <c r="F128" s="81"/>
      <c r="G128" s="25"/>
      <c r="I128" s="24"/>
      <c r="J128" s="24"/>
    </row>
    <row r="129" spans="1:10" x14ac:dyDescent="0.3">
      <c r="A129" s="24"/>
      <c r="E129" s="30"/>
      <c r="F129" s="81"/>
      <c r="G129" s="25"/>
      <c r="I129" s="28"/>
      <c r="J129" s="28"/>
    </row>
    <row r="130" spans="1:10" x14ac:dyDescent="0.3">
      <c r="A130" s="24"/>
      <c r="E130" s="30"/>
      <c r="F130" s="81"/>
      <c r="G130" s="25"/>
      <c r="I130" s="24"/>
      <c r="J130" s="24"/>
    </row>
    <row r="131" spans="1:10" x14ac:dyDescent="0.3">
      <c r="A131" s="24"/>
      <c r="E131" s="30"/>
      <c r="F131" s="81"/>
      <c r="G131" s="25"/>
      <c r="I131" s="28"/>
      <c r="J131" s="28"/>
    </row>
    <row r="132" spans="1:10" x14ac:dyDescent="0.3">
      <c r="A132" s="24"/>
      <c r="E132" s="30"/>
      <c r="F132" s="81"/>
      <c r="G132" s="25"/>
      <c r="I132" s="24"/>
      <c r="J132" s="24"/>
    </row>
    <row r="133" spans="1:10" x14ac:dyDescent="0.3">
      <c r="A133" s="24"/>
      <c r="E133" s="30"/>
      <c r="F133" s="81"/>
      <c r="G133" s="25"/>
      <c r="I133" s="24"/>
      <c r="J133" s="24"/>
    </row>
    <row r="134" spans="1:10" x14ac:dyDescent="0.3">
      <c r="A134" s="24"/>
      <c r="E134" s="30"/>
      <c r="F134" s="81"/>
      <c r="G134" s="25"/>
      <c r="I134" s="24"/>
      <c r="J134" s="24"/>
    </row>
    <row r="135" spans="1:10" x14ac:dyDescent="0.3">
      <c r="A135" s="24"/>
      <c r="E135" s="30"/>
      <c r="F135" s="81"/>
      <c r="G135" s="25"/>
      <c r="I135" s="24"/>
      <c r="J135" s="24"/>
    </row>
    <row r="136" spans="1:10" x14ac:dyDescent="0.3">
      <c r="A136" s="24"/>
      <c r="E136" s="30"/>
      <c r="F136" s="81"/>
      <c r="G136" s="25"/>
      <c r="I136" s="24"/>
      <c r="J136" s="24"/>
    </row>
    <row r="137" spans="1:10" x14ac:dyDescent="0.3">
      <c r="A137" s="24"/>
      <c r="E137" s="30"/>
      <c r="F137" s="81"/>
      <c r="G137" s="25"/>
      <c r="I137" s="24"/>
      <c r="J137" s="24"/>
    </row>
    <row r="138" spans="1:10" x14ac:dyDescent="0.3">
      <c r="A138" s="24"/>
      <c r="E138" s="30"/>
      <c r="F138" s="81"/>
      <c r="G138" s="25"/>
    </row>
    <row r="139" spans="1:10" x14ac:dyDescent="0.3">
      <c r="A139" s="24"/>
      <c r="B139" s="29"/>
      <c r="C139" s="29"/>
      <c r="E139" s="30"/>
      <c r="F139" s="31"/>
      <c r="G139" s="25"/>
      <c r="I139" s="24"/>
      <c r="J139" s="24"/>
    </row>
    <row r="140" spans="1:10" x14ac:dyDescent="0.3">
      <c r="A140" s="24"/>
      <c r="B140" s="29"/>
      <c r="C140" s="29"/>
      <c r="E140" s="85"/>
      <c r="F140" s="81"/>
      <c r="G140" s="25"/>
      <c r="I140" s="28"/>
      <c r="J140" s="28"/>
    </row>
    <row r="141" spans="1:10" x14ac:dyDescent="0.3">
      <c r="A141" s="24"/>
      <c r="B141" s="29"/>
      <c r="C141" s="29"/>
      <c r="E141" s="85"/>
      <c r="F141" s="81"/>
      <c r="G141" s="25"/>
      <c r="I141" s="24"/>
      <c r="J141" s="24"/>
    </row>
    <row r="142" spans="1:10" x14ac:dyDescent="0.3">
      <c r="A142" s="24"/>
      <c r="B142" s="29"/>
      <c r="C142" s="29"/>
      <c r="E142" s="85"/>
      <c r="F142" s="81"/>
      <c r="G142" s="25"/>
      <c r="I142" s="28"/>
      <c r="J142" s="28"/>
    </row>
    <row r="143" spans="1:10" x14ac:dyDescent="0.3">
      <c r="A143" s="24"/>
      <c r="B143" s="29"/>
      <c r="C143" s="29"/>
      <c r="E143" s="85"/>
      <c r="F143" s="81"/>
      <c r="G143" s="25"/>
      <c r="I143" s="24"/>
      <c r="J143" s="24"/>
    </row>
    <row r="144" spans="1:10" x14ac:dyDescent="0.3">
      <c r="A144" s="24"/>
      <c r="B144" s="29"/>
      <c r="C144" s="29"/>
      <c r="E144" s="85"/>
      <c r="F144" s="81"/>
      <c r="G144" s="25"/>
      <c r="I144" s="24"/>
      <c r="J144" s="24"/>
    </row>
    <row r="145" spans="1:10" x14ac:dyDescent="0.3">
      <c r="A145" s="24"/>
      <c r="B145" s="29"/>
      <c r="C145" s="29"/>
      <c r="E145" s="85"/>
      <c r="F145" s="81"/>
      <c r="G145" s="25"/>
      <c r="I145" s="28"/>
      <c r="J145" s="28"/>
    </row>
    <row r="146" spans="1:10" x14ac:dyDescent="0.3">
      <c r="A146" s="24"/>
      <c r="B146" s="29"/>
      <c r="C146" s="29"/>
      <c r="E146" s="85"/>
      <c r="F146" s="81"/>
      <c r="G146" s="25"/>
      <c r="I146" s="24"/>
      <c r="J146" s="24"/>
    </row>
    <row r="147" spans="1:10" x14ac:dyDescent="0.3">
      <c r="A147" s="24"/>
      <c r="B147" s="29"/>
      <c r="C147" s="29"/>
      <c r="E147" s="85"/>
      <c r="F147" s="31"/>
      <c r="G147" s="25"/>
      <c r="I147" s="24"/>
      <c r="J147" s="24"/>
    </row>
    <row r="148" spans="1:10" x14ac:dyDescent="0.3">
      <c r="A148" s="24"/>
      <c r="B148" s="29"/>
      <c r="C148" s="29"/>
      <c r="E148" s="85"/>
      <c r="F148" s="31"/>
      <c r="G148" s="25"/>
      <c r="I148" s="28"/>
      <c r="J148" s="28"/>
    </row>
    <row r="149" spans="1:10" x14ac:dyDescent="0.3">
      <c r="A149" s="24"/>
      <c r="B149" s="29"/>
      <c r="C149" s="29"/>
      <c r="E149" s="32"/>
      <c r="F149" s="31"/>
      <c r="G149" s="25"/>
      <c r="I149" s="24"/>
      <c r="J149" s="24"/>
    </row>
    <row r="150" spans="1:10" x14ac:dyDescent="0.3">
      <c r="A150" s="24"/>
      <c r="B150" s="33"/>
      <c r="C150" s="33"/>
      <c r="E150" s="85"/>
      <c r="F150" s="85"/>
      <c r="G150" s="25"/>
      <c r="I150" s="24"/>
      <c r="J150" s="24"/>
    </row>
    <row r="151" spans="1:10" x14ac:dyDescent="0.3">
      <c r="A151" s="24"/>
      <c r="B151" s="33"/>
      <c r="C151" s="33"/>
      <c r="E151" s="85"/>
      <c r="F151" s="85"/>
      <c r="G151" s="25"/>
      <c r="I151" s="28"/>
      <c r="J151" s="28"/>
    </row>
    <row r="152" spans="1:10" x14ac:dyDescent="0.3">
      <c r="A152" s="24"/>
      <c r="B152" s="33"/>
      <c r="C152" s="33"/>
      <c r="E152" s="85"/>
      <c r="F152" s="85"/>
      <c r="G152" s="25"/>
      <c r="I152" s="28"/>
      <c r="J152" s="28"/>
    </row>
    <row r="153" spans="1:10" x14ac:dyDescent="0.3">
      <c r="A153" s="24"/>
      <c r="B153" s="33"/>
      <c r="C153" s="33"/>
      <c r="E153" s="85"/>
      <c r="F153" s="85"/>
      <c r="G153" s="25"/>
      <c r="I153" s="28"/>
      <c r="J153" s="28"/>
    </row>
    <row r="154" spans="1:10" x14ac:dyDescent="0.3">
      <c r="A154" s="24"/>
      <c r="B154" s="33"/>
      <c r="C154" s="33"/>
      <c r="E154" s="85"/>
      <c r="F154" s="85"/>
      <c r="G154" s="25"/>
      <c r="I154" s="28"/>
      <c r="J154" s="28"/>
    </row>
    <row r="155" spans="1:10" x14ac:dyDescent="0.3">
      <c r="A155" s="24"/>
      <c r="B155" s="33"/>
      <c r="C155" s="33"/>
      <c r="E155" s="85"/>
      <c r="F155" s="85"/>
      <c r="G155" s="25"/>
      <c r="I155" s="24"/>
      <c r="J155" s="24"/>
    </row>
    <row r="156" spans="1:10" x14ac:dyDescent="0.3">
      <c r="A156" s="24"/>
      <c r="B156" s="33"/>
      <c r="C156" s="33"/>
      <c r="E156" s="85"/>
      <c r="F156" s="85"/>
      <c r="G156" s="25"/>
      <c r="I156" s="28"/>
      <c r="J156" s="28"/>
    </row>
    <row r="157" spans="1:10" x14ac:dyDescent="0.3">
      <c r="A157" s="24"/>
      <c r="B157" s="33"/>
      <c r="C157" s="33"/>
      <c r="E157" s="85"/>
      <c r="F157" s="85"/>
      <c r="G157" s="25"/>
      <c r="I157" s="24"/>
      <c r="J157" s="24"/>
    </row>
    <row r="158" spans="1:10" x14ac:dyDescent="0.3">
      <c r="A158" s="24"/>
      <c r="B158" s="33"/>
      <c r="C158" s="33"/>
      <c r="E158" s="85"/>
      <c r="F158" s="85"/>
      <c r="G158" s="25"/>
      <c r="I158" s="24"/>
      <c r="J158" s="24"/>
    </row>
    <row r="159" spans="1:10" x14ac:dyDescent="0.3">
      <c r="A159" s="24"/>
      <c r="B159" s="33"/>
      <c r="C159" s="33"/>
      <c r="E159" s="85"/>
      <c r="F159" s="85"/>
      <c r="G159" s="25"/>
      <c r="I159" s="24"/>
      <c r="J159" s="24"/>
    </row>
    <row r="160" spans="1:10" x14ac:dyDescent="0.3">
      <c r="A160" s="24"/>
      <c r="B160" s="33"/>
      <c r="C160" s="33"/>
      <c r="E160" s="85"/>
      <c r="F160" s="85"/>
      <c r="G160" s="25"/>
      <c r="I160" s="28"/>
      <c r="J160" s="28"/>
    </row>
    <row r="161" spans="1:10" x14ac:dyDescent="0.3">
      <c r="A161" s="24"/>
      <c r="B161" s="33"/>
      <c r="C161" s="33"/>
      <c r="E161" s="85"/>
      <c r="F161" s="85"/>
      <c r="G161" s="25"/>
      <c r="I161" s="24"/>
      <c r="J161" s="24"/>
    </row>
    <row r="162" spans="1:10" x14ac:dyDescent="0.3">
      <c r="A162" s="24"/>
      <c r="B162" s="33"/>
      <c r="C162" s="33"/>
      <c r="E162" s="30"/>
      <c r="F162" s="30"/>
      <c r="G162" s="25"/>
      <c r="I162" s="28"/>
      <c r="J162" s="28"/>
    </row>
    <row r="163" spans="1:10" x14ac:dyDescent="0.3">
      <c r="A163" s="24"/>
      <c r="E163" s="32"/>
      <c r="F163" s="34"/>
      <c r="G163" s="25"/>
      <c r="I163" s="24"/>
      <c r="J163" s="24"/>
    </row>
    <row r="164" spans="1:10" x14ac:dyDescent="0.3">
      <c r="A164" s="24"/>
      <c r="E164" s="85"/>
      <c r="F164" s="97"/>
      <c r="G164" s="25"/>
      <c r="I164" s="24"/>
      <c r="J164" s="24"/>
    </row>
    <row r="165" spans="1:10" x14ac:dyDescent="0.3">
      <c r="A165" s="24"/>
      <c r="E165" s="85"/>
      <c r="F165" s="38"/>
      <c r="G165" s="25"/>
      <c r="I165" s="28"/>
      <c r="J165" s="28"/>
    </row>
    <row r="166" spans="1:10" x14ac:dyDescent="0.3">
      <c r="A166" s="24"/>
      <c r="E166" s="85"/>
      <c r="F166" s="38"/>
      <c r="G166" s="25"/>
      <c r="I166" s="28"/>
      <c r="J166" s="28"/>
    </row>
    <row r="167" spans="1:10" x14ac:dyDescent="0.3">
      <c r="A167" s="24"/>
      <c r="E167" s="85"/>
      <c r="F167" s="38"/>
      <c r="G167" s="25"/>
      <c r="I167" s="28"/>
      <c r="J167" s="28"/>
    </row>
    <row r="168" spans="1:10" x14ac:dyDescent="0.3">
      <c r="A168" s="24"/>
      <c r="E168" s="85"/>
      <c r="F168" s="82"/>
      <c r="G168" s="25"/>
      <c r="I168" s="28"/>
      <c r="J168" s="28"/>
    </row>
    <row r="169" spans="1:10" x14ac:dyDescent="0.3">
      <c r="A169" s="24"/>
      <c r="E169" s="85"/>
      <c r="F169" s="82"/>
      <c r="G169" s="25"/>
      <c r="I169" s="28"/>
      <c r="J169" s="28"/>
    </row>
    <row r="170" spans="1:10" x14ac:dyDescent="0.3">
      <c r="A170" s="24"/>
      <c r="E170" s="85"/>
      <c r="F170" s="82"/>
      <c r="G170" s="25"/>
      <c r="I170" s="24"/>
      <c r="J170" s="24"/>
    </row>
    <row r="171" spans="1:10" x14ac:dyDescent="0.3">
      <c r="A171" s="24"/>
      <c r="E171" s="85"/>
      <c r="F171" s="82"/>
      <c r="G171" s="25"/>
      <c r="I171" s="28"/>
      <c r="J171" s="28"/>
    </row>
    <row r="172" spans="1:10" x14ac:dyDescent="0.3">
      <c r="A172" s="24"/>
      <c r="E172" s="85"/>
      <c r="F172" s="82"/>
      <c r="G172" s="25"/>
      <c r="I172" s="28"/>
      <c r="J172" s="28"/>
    </row>
    <row r="173" spans="1:10" x14ac:dyDescent="0.3">
      <c r="A173" s="24"/>
      <c r="E173" s="85"/>
      <c r="F173" s="97"/>
      <c r="G173" s="25"/>
      <c r="I173" s="28"/>
      <c r="J173" s="28"/>
    </row>
    <row r="174" spans="1:10" x14ac:dyDescent="0.3">
      <c r="A174" s="24"/>
      <c r="E174" s="85"/>
      <c r="F174" s="38"/>
      <c r="G174" s="25"/>
      <c r="I174" s="24"/>
      <c r="J174" s="24"/>
    </row>
    <row r="175" spans="1:10" x14ac:dyDescent="0.3">
      <c r="A175" s="24"/>
      <c r="E175" s="85"/>
      <c r="F175" s="38"/>
      <c r="G175" s="25"/>
      <c r="I175" s="28"/>
      <c r="J175" s="28"/>
    </row>
    <row r="176" spans="1:10" x14ac:dyDescent="0.3">
      <c r="A176" s="24"/>
      <c r="E176" s="85"/>
      <c r="F176" s="38"/>
      <c r="G176" s="25"/>
      <c r="I176" s="28"/>
      <c r="J176" s="28"/>
    </row>
    <row r="177" spans="1:10" x14ac:dyDescent="0.3">
      <c r="A177" s="24"/>
      <c r="E177" s="85"/>
      <c r="F177" s="38"/>
      <c r="G177" s="25"/>
      <c r="I177" s="24"/>
      <c r="J177" s="24"/>
    </row>
    <row r="178" spans="1:10" x14ac:dyDescent="0.3">
      <c r="A178" s="24"/>
      <c r="E178" s="85"/>
      <c r="F178" s="97"/>
      <c r="G178" s="27"/>
      <c r="I178" s="24"/>
      <c r="J178" s="24"/>
    </row>
    <row r="179" spans="1:10" x14ac:dyDescent="0.3">
      <c r="A179" s="24"/>
      <c r="E179" s="85"/>
      <c r="F179" s="38"/>
      <c r="G179" s="27"/>
      <c r="I179" s="24"/>
      <c r="J179" s="24"/>
    </row>
    <row r="180" spans="1:10" x14ac:dyDescent="0.3">
      <c r="A180" s="24"/>
      <c r="E180" s="85"/>
      <c r="F180" s="38"/>
      <c r="G180" s="25"/>
      <c r="I180" s="28"/>
      <c r="J180" s="28"/>
    </row>
    <row r="181" spans="1:10" x14ac:dyDescent="0.3">
      <c r="A181" s="24"/>
      <c r="E181" s="85"/>
      <c r="F181" s="38"/>
      <c r="G181" s="25"/>
      <c r="I181" s="24"/>
      <c r="J181" s="24"/>
    </row>
    <row r="182" spans="1:10" x14ac:dyDescent="0.3">
      <c r="A182" s="24"/>
      <c r="E182" s="85"/>
      <c r="F182" s="97"/>
      <c r="G182" s="25"/>
      <c r="I182" s="28"/>
      <c r="J182" s="28"/>
    </row>
    <row r="183" spans="1:10" x14ac:dyDescent="0.3">
      <c r="A183" s="24"/>
      <c r="E183" s="85"/>
      <c r="F183" s="38"/>
      <c r="G183" s="25"/>
      <c r="I183" s="28"/>
      <c r="J183" s="28"/>
    </row>
    <row r="184" spans="1:10" x14ac:dyDescent="0.3">
      <c r="A184" s="24"/>
      <c r="E184" s="85"/>
      <c r="F184" s="38"/>
      <c r="G184" s="25"/>
      <c r="I184" s="24"/>
      <c r="J184" s="24"/>
    </row>
    <row r="185" spans="1:10" x14ac:dyDescent="0.3">
      <c r="A185" s="24"/>
      <c r="E185" s="85"/>
      <c r="F185" s="38"/>
      <c r="G185" s="25"/>
      <c r="I185" s="24"/>
      <c r="J185" s="24"/>
    </row>
    <row r="186" spans="1:10" x14ac:dyDescent="0.3">
      <c r="A186" s="24"/>
      <c r="E186" s="85"/>
      <c r="F186" s="38"/>
      <c r="G186" s="25"/>
      <c r="I186" s="24"/>
      <c r="J186" s="24"/>
    </row>
    <row r="187" spans="1:10" x14ac:dyDescent="0.3">
      <c r="A187" s="24"/>
      <c r="E187" s="85"/>
      <c r="F187" s="81"/>
      <c r="G187" s="25"/>
      <c r="I187" s="24"/>
      <c r="J187" s="24"/>
    </row>
    <row r="188" spans="1:10" x14ac:dyDescent="0.3">
      <c r="A188" s="24"/>
      <c r="E188" s="85"/>
      <c r="F188" s="81"/>
      <c r="G188" s="25"/>
      <c r="I188" s="28"/>
      <c r="J188" s="28"/>
    </row>
    <row r="189" spans="1:10" x14ac:dyDescent="0.3">
      <c r="A189" s="24"/>
      <c r="E189" s="85"/>
      <c r="F189" s="81"/>
      <c r="G189" s="25"/>
      <c r="I189" s="24"/>
      <c r="J189" s="24"/>
    </row>
    <row r="190" spans="1:10" x14ac:dyDescent="0.3">
      <c r="A190" s="24"/>
      <c r="E190" s="85"/>
      <c r="F190" s="81"/>
      <c r="G190" s="25"/>
      <c r="I190" s="28"/>
      <c r="J190" s="28"/>
    </row>
    <row r="191" spans="1:10" x14ac:dyDescent="0.3">
      <c r="A191" s="24"/>
      <c r="E191" s="85"/>
      <c r="F191" s="81"/>
      <c r="G191" s="25"/>
      <c r="I191" s="28"/>
      <c r="J191" s="28"/>
    </row>
    <row r="192" spans="1:10" x14ac:dyDescent="0.3">
      <c r="A192" s="24"/>
      <c r="E192" s="85"/>
      <c r="F192" s="81"/>
      <c r="G192" s="25"/>
      <c r="I192" s="28"/>
      <c r="J192" s="28"/>
    </row>
    <row r="193" spans="1:10" x14ac:dyDescent="0.3">
      <c r="A193" s="24"/>
      <c r="E193" s="85"/>
      <c r="F193" s="81"/>
      <c r="G193" s="25"/>
      <c r="I193" s="28"/>
      <c r="J193" s="28"/>
    </row>
    <row r="194" spans="1:10" x14ac:dyDescent="0.3">
      <c r="A194" s="24"/>
      <c r="E194" s="85"/>
      <c r="F194" s="81"/>
      <c r="G194" s="25"/>
      <c r="I194" s="24"/>
      <c r="J194" s="24"/>
    </row>
    <row r="195" spans="1:10" x14ac:dyDescent="0.3">
      <c r="A195" s="24"/>
      <c r="E195" s="85"/>
      <c r="F195" s="81"/>
      <c r="G195" s="25"/>
      <c r="I195" s="24"/>
      <c r="J195" s="24"/>
    </row>
    <row r="196" spans="1:10" x14ac:dyDescent="0.3">
      <c r="A196" s="24"/>
      <c r="E196" s="85"/>
      <c r="F196" s="81"/>
      <c r="G196" s="25"/>
      <c r="I196" s="24"/>
      <c r="J196" s="24"/>
    </row>
    <row r="197" spans="1:10" x14ac:dyDescent="0.3">
      <c r="A197" s="24"/>
      <c r="E197" s="85"/>
      <c r="F197" s="81"/>
      <c r="G197" s="25"/>
      <c r="I197" s="28"/>
      <c r="J197" s="28"/>
    </row>
    <row r="198" spans="1:10" x14ac:dyDescent="0.3">
      <c r="A198" s="24"/>
      <c r="E198" s="85"/>
      <c r="F198" s="81"/>
      <c r="G198" s="25"/>
      <c r="I198" s="24"/>
      <c r="J198" s="24"/>
    </row>
    <row r="199" spans="1:10" x14ac:dyDescent="0.3">
      <c r="A199" s="24"/>
      <c r="E199" s="38"/>
      <c r="F199" s="97"/>
      <c r="G199" s="31"/>
      <c r="H199" s="35"/>
      <c r="I199" s="36"/>
      <c r="J199" s="36"/>
    </row>
    <row r="200" spans="1:10" x14ac:dyDescent="0.3">
      <c r="A200" s="24"/>
      <c r="E200" s="38"/>
      <c r="F200" s="97"/>
      <c r="G200" s="31"/>
      <c r="H200" s="35"/>
      <c r="I200" s="36"/>
      <c r="J200" s="36"/>
    </row>
    <row r="201" spans="1:10" x14ac:dyDescent="0.3">
      <c r="A201" s="24"/>
      <c r="E201" s="38"/>
      <c r="F201" s="97"/>
      <c r="G201" s="31"/>
      <c r="H201" s="37"/>
      <c r="I201" s="38"/>
      <c r="J201" s="38"/>
    </row>
    <row r="202" spans="1:10" x14ac:dyDescent="0.3">
      <c r="A202" s="24"/>
      <c r="E202" s="38"/>
      <c r="F202" s="97"/>
      <c r="G202" s="31"/>
      <c r="H202" s="35"/>
      <c r="I202" s="38"/>
      <c r="J202" s="38"/>
    </row>
    <row r="203" spans="1:10" x14ac:dyDescent="0.3">
      <c r="A203" s="24"/>
      <c r="E203" s="38"/>
      <c r="F203" s="97"/>
      <c r="G203" s="31"/>
      <c r="H203" s="39"/>
      <c r="I203" s="38"/>
      <c r="J203" s="38"/>
    </row>
    <row r="204" spans="1:10" x14ac:dyDescent="0.3">
      <c r="A204" s="24"/>
      <c r="E204" s="38"/>
      <c r="F204" s="97"/>
      <c r="G204" s="31"/>
      <c r="H204" s="39"/>
      <c r="I204" s="38"/>
      <c r="J204" s="38"/>
    </row>
    <row r="205" spans="1:10" x14ac:dyDescent="0.3">
      <c r="A205" s="24"/>
      <c r="E205" s="38"/>
      <c r="F205" s="97"/>
      <c r="G205" s="31"/>
      <c r="H205" s="35"/>
      <c r="I205" s="38"/>
      <c r="J205" s="38"/>
    </row>
    <row r="206" spans="1:10" x14ac:dyDescent="0.3">
      <c r="A206" s="24"/>
      <c r="E206" s="38"/>
      <c r="F206" s="97"/>
      <c r="G206" s="31"/>
      <c r="H206" s="35"/>
      <c r="I206" s="38"/>
      <c r="J206" s="38"/>
    </row>
    <row r="207" spans="1:10" x14ac:dyDescent="0.3">
      <c r="A207" s="24"/>
      <c r="E207" s="38"/>
      <c r="F207" s="97"/>
      <c r="G207" s="31"/>
      <c r="H207" s="39"/>
      <c r="I207" s="38"/>
      <c r="J207" s="38"/>
    </row>
    <row r="208" spans="1:10" x14ac:dyDescent="0.3">
      <c r="A208" s="24"/>
      <c r="E208" s="38"/>
      <c r="F208" s="97"/>
      <c r="G208" s="31"/>
      <c r="H208" s="35"/>
      <c r="I208" s="38"/>
      <c r="J208" s="38"/>
    </row>
    <row r="209" spans="1:10" x14ac:dyDescent="0.3">
      <c r="A209" s="24"/>
      <c r="E209" s="38"/>
      <c r="F209" s="97"/>
      <c r="G209" s="31"/>
      <c r="H209" s="35"/>
      <c r="I209" s="24"/>
      <c r="J209" s="24"/>
    </row>
    <row r="210" spans="1:10" x14ac:dyDescent="0.3">
      <c r="A210" s="24"/>
      <c r="E210" s="38"/>
      <c r="F210" s="97"/>
      <c r="G210" s="31"/>
      <c r="H210" s="35"/>
      <c r="I210" s="38"/>
      <c r="J210" s="38"/>
    </row>
    <row r="211" spans="1:10" x14ac:dyDescent="0.3">
      <c r="A211" s="24"/>
      <c r="E211" s="38"/>
      <c r="F211" s="97"/>
      <c r="G211" s="31"/>
      <c r="H211" s="39"/>
      <c r="I211" s="38"/>
      <c r="J211" s="38"/>
    </row>
    <row r="212" spans="1:10" x14ac:dyDescent="0.3">
      <c r="A212" s="24"/>
      <c r="E212" s="38"/>
      <c r="F212" s="97"/>
      <c r="G212" s="31"/>
      <c r="H212" s="35"/>
      <c r="I212" s="38"/>
      <c r="J212" s="38"/>
    </row>
    <row r="213" spans="1:10" x14ac:dyDescent="0.3">
      <c r="A213" s="24"/>
      <c r="E213" s="38"/>
      <c r="F213" s="97"/>
      <c r="G213" s="31"/>
      <c r="H213" s="25"/>
      <c r="I213" s="38"/>
      <c r="J213" s="38"/>
    </row>
    <row r="214" spans="1:10" x14ac:dyDescent="0.3">
      <c r="A214" s="24"/>
      <c r="E214" s="38"/>
      <c r="F214" s="97"/>
      <c r="G214" s="31"/>
      <c r="H214" s="35"/>
      <c r="I214" s="38"/>
      <c r="J214" s="38"/>
    </row>
    <row r="215" spans="1:10" x14ac:dyDescent="0.3">
      <c r="A215" s="24"/>
      <c r="E215" s="38"/>
      <c r="F215" s="82"/>
      <c r="G215" s="31"/>
      <c r="H215" s="35"/>
      <c r="I215" s="36"/>
      <c r="J215" s="36"/>
    </row>
    <row r="216" spans="1:10" x14ac:dyDescent="0.3">
      <c r="A216" s="24"/>
      <c r="E216" s="38"/>
      <c r="F216" s="82"/>
      <c r="G216" s="31"/>
      <c r="H216" s="35"/>
      <c r="I216" s="36"/>
      <c r="J216" s="36"/>
    </row>
    <row r="217" spans="1:10" x14ac:dyDescent="0.3">
      <c r="A217" s="24"/>
      <c r="E217" s="38"/>
      <c r="F217" s="97"/>
      <c r="G217" s="31"/>
      <c r="H217" s="37"/>
      <c r="I217" s="38"/>
      <c r="J217" s="38"/>
    </row>
    <row r="218" spans="1:10" x14ac:dyDescent="0.3">
      <c r="A218" s="24"/>
      <c r="E218" s="38"/>
      <c r="F218" s="97"/>
      <c r="G218" s="31"/>
      <c r="H218" s="35"/>
      <c r="I218" s="38"/>
      <c r="J218" s="38"/>
    </row>
    <row r="219" spans="1:10" x14ac:dyDescent="0.3">
      <c r="A219" s="24"/>
      <c r="E219" s="38"/>
      <c r="F219" s="97"/>
      <c r="G219" s="31"/>
      <c r="H219" s="39"/>
      <c r="I219" s="38"/>
      <c r="J219" s="38"/>
    </row>
    <row r="220" spans="1:10" x14ac:dyDescent="0.3">
      <c r="A220" s="24"/>
      <c r="E220" s="38"/>
      <c r="F220" s="97"/>
      <c r="G220" s="31"/>
      <c r="H220" s="35"/>
      <c r="I220" s="38"/>
      <c r="J220" s="38"/>
    </row>
    <row r="221" spans="1:10" x14ac:dyDescent="0.3">
      <c r="A221" s="24"/>
      <c r="E221" s="38"/>
      <c r="F221" s="97"/>
      <c r="G221" s="31"/>
      <c r="H221" s="35"/>
      <c r="I221" s="38"/>
      <c r="J221" s="38"/>
    </row>
    <row r="222" spans="1:10" x14ac:dyDescent="0.3">
      <c r="A222" s="24"/>
      <c r="E222" s="38"/>
      <c r="F222" s="97"/>
      <c r="G222" s="31"/>
      <c r="H222" s="39"/>
      <c r="I222" s="38"/>
      <c r="J222" s="38"/>
    </row>
    <row r="223" spans="1:10" x14ac:dyDescent="0.3">
      <c r="A223" s="24"/>
      <c r="E223" s="38"/>
      <c r="F223" s="97"/>
      <c r="G223" s="31"/>
      <c r="H223" s="39"/>
      <c r="I223" s="38"/>
      <c r="J223" s="38"/>
    </row>
    <row r="224" spans="1:10" x14ac:dyDescent="0.3">
      <c r="A224" s="24"/>
      <c r="E224" s="38"/>
      <c r="F224" s="97"/>
      <c r="G224" s="31"/>
      <c r="H224" s="35"/>
      <c r="I224" s="38"/>
      <c r="J224" s="38"/>
    </row>
    <row r="225" spans="1:10" x14ac:dyDescent="0.3">
      <c r="A225" s="24"/>
      <c r="E225" s="38"/>
      <c r="F225" s="97"/>
      <c r="G225" s="31"/>
      <c r="H225" s="35"/>
      <c r="I225" s="38"/>
      <c r="J225" s="38"/>
    </row>
    <row r="226" spans="1:10" x14ac:dyDescent="0.3">
      <c r="A226" s="24"/>
      <c r="E226" s="38"/>
      <c r="F226" s="97"/>
      <c r="G226" s="31"/>
      <c r="H226" s="35"/>
      <c r="I226" s="38"/>
      <c r="J226" s="38"/>
    </row>
    <row r="227" spans="1:10" x14ac:dyDescent="0.3">
      <c r="A227" s="24"/>
      <c r="E227" s="38"/>
      <c r="F227" s="97"/>
      <c r="G227" s="31"/>
      <c r="H227" s="35"/>
      <c r="I227" s="38"/>
      <c r="J227" s="38"/>
    </row>
    <row r="228" spans="1:10" x14ac:dyDescent="0.3">
      <c r="A228" s="24"/>
      <c r="E228" s="38"/>
      <c r="F228" s="97"/>
      <c r="G228" s="31"/>
      <c r="H228" s="35"/>
      <c r="I228" s="38"/>
      <c r="J228" s="38"/>
    </row>
    <row r="229" spans="1:10" x14ac:dyDescent="0.3">
      <c r="A229" s="24"/>
      <c r="E229" s="38"/>
      <c r="F229" s="97"/>
      <c r="G229" s="31"/>
      <c r="H229" s="25"/>
    </row>
    <row r="230" spans="1:10" x14ac:dyDescent="0.3">
      <c r="A230" s="24"/>
      <c r="E230" s="38"/>
      <c r="F230" s="82"/>
      <c r="G230" s="31"/>
      <c r="H230" s="35"/>
      <c r="I230" s="36"/>
      <c r="J230" s="36"/>
    </row>
    <row r="231" spans="1:10" x14ac:dyDescent="0.3">
      <c r="A231" s="24"/>
      <c r="E231" s="38"/>
      <c r="F231" s="82"/>
      <c r="G231" s="31"/>
      <c r="H231" s="35"/>
      <c r="I231" s="36"/>
      <c r="J231" s="36"/>
    </row>
    <row r="232" spans="1:10" x14ac:dyDescent="0.3">
      <c r="A232" s="24"/>
      <c r="E232" s="38"/>
      <c r="F232" s="82"/>
      <c r="G232" s="31"/>
      <c r="H232" s="37"/>
      <c r="I232" s="38"/>
      <c r="J232" s="38"/>
    </row>
    <row r="233" spans="1:10" x14ac:dyDescent="0.3">
      <c r="A233" s="24"/>
      <c r="E233" s="38"/>
      <c r="F233" s="82"/>
      <c r="G233" s="31"/>
      <c r="H233" s="35"/>
      <c r="I233" s="38"/>
      <c r="J233" s="38"/>
    </row>
    <row r="234" spans="1:10" x14ac:dyDescent="0.3">
      <c r="A234" s="24"/>
      <c r="E234" s="38"/>
      <c r="F234" s="82"/>
      <c r="G234" s="31"/>
      <c r="H234" s="39"/>
      <c r="I234" s="38"/>
      <c r="J234" s="38"/>
    </row>
    <row r="235" spans="1:10" x14ac:dyDescent="0.3">
      <c r="A235" s="24"/>
      <c r="E235" s="38"/>
      <c r="F235" s="82"/>
      <c r="G235" s="31"/>
      <c r="H235" s="39"/>
      <c r="I235" s="38"/>
      <c r="J235" s="38"/>
    </row>
    <row r="236" spans="1:10" x14ac:dyDescent="0.3">
      <c r="A236" s="24"/>
      <c r="E236" s="38"/>
      <c r="F236" s="82"/>
      <c r="G236" s="31"/>
      <c r="H236" s="35"/>
      <c r="I236" s="38"/>
      <c r="J236" s="38"/>
    </row>
    <row r="237" spans="1:10" x14ac:dyDescent="0.3">
      <c r="A237" s="24"/>
      <c r="E237" s="38"/>
      <c r="F237" s="82"/>
      <c r="G237" s="31"/>
      <c r="H237" s="35"/>
      <c r="I237" s="38"/>
      <c r="J237" s="38"/>
    </row>
    <row r="238" spans="1:10" x14ac:dyDescent="0.3">
      <c r="A238" s="24"/>
      <c r="E238" s="38"/>
      <c r="F238" s="82"/>
      <c r="G238" s="31"/>
      <c r="H238" s="35"/>
      <c r="I238" s="38"/>
      <c r="J238" s="38"/>
    </row>
    <row r="239" spans="1:10" x14ac:dyDescent="0.3">
      <c r="A239" s="24"/>
      <c r="E239" s="38"/>
      <c r="F239" s="82"/>
      <c r="G239" s="31"/>
      <c r="H239" s="39"/>
      <c r="I239" s="38"/>
      <c r="J239" s="38"/>
    </row>
    <row r="240" spans="1:10" x14ac:dyDescent="0.3">
      <c r="A240" s="24"/>
      <c r="E240" s="38"/>
      <c r="F240" s="82"/>
      <c r="G240" s="31"/>
      <c r="H240" s="39"/>
      <c r="I240" s="38"/>
      <c r="J240" s="38"/>
    </row>
    <row r="241" spans="1:10" x14ac:dyDescent="0.3">
      <c r="A241" s="24"/>
      <c r="E241" s="38"/>
      <c r="F241" s="82"/>
      <c r="G241" s="31"/>
      <c r="H241" s="35"/>
      <c r="I241" s="24"/>
      <c r="J241" s="24"/>
    </row>
    <row r="242" spans="1:10" x14ac:dyDescent="0.3">
      <c r="A242" s="24"/>
      <c r="E242" s="38"/>
      <c r="F242" s="82"/>
      <c r="G242" s="31"/>
      <c r="H242" s="39"/>
      <c r="I242" s="38"/>
      <c r="J242" s="38"/>
    </row>
    <row r="243" spans="1:10" x14ac:dyDescent="0.3">
      <c r="A243" s="24"/>
      <c r="E243" s="38"/>
      <c r="F243" s="82"/>
      <c r="G243" s="31"/>
      <c r="H243" s="35"/>
      <c r="I243" s="38"/>
      <c r="J243" s="38"/>
    </row>
    <row r="244" spans="1:10" x14ac:dyDescent="0.3">
      <c r="A244" s="24"/>
      <c r="E244" s="38"/>
      <c r="F244" s="82"/>
      <c r="G244" s="31"/>
      <c r="H244" s="35"/>
      <c r="I244" s="38"/>
      <c r="J244" s="38"/>
    </row>
    <row r="245" spans="1:10" x14ac:dyDescent="0.3">
      <c r="A245" s="24"/>
      <c r="E245" s="38"/>
      <c r="F245" s="82"/>
      <c r="G245" s="31"/>
      <c r="H245" s="35"/>
      <c r="I245" s="38"/>
      <c r="J245" s="38"/>
    </row>
    <row r="246" spans="1:10" x14ac:dyDescent="0.3">
      <c r="A246" s="24"/>
      <c r="E246" s="38"/>
      <c r="F246" s="82"/>
      <c r="G246" s="31"/>
      <c r="H246" s="35"/>
      <c r="I246" s="40"/>
      <c r="J246" s="40"/>
    </row>
    <row r="247" spans="1:10" x14ac:dyDescent="0.3">
      <c r="A247" s="24"/>
      <c r="E247" s="38"/>
      <c r="F247" s="82"/>
      <c r="G247" s="31"/>
      <c r="H247" s="39"/>
      <c r="I247" s="40"/>
      <c r="J247" s="40"/>
    </row>
    <row r="248" spans="1:10" x14ac:dyDescent="0.3">
      <c r="A248" s="24"/>
      <c r="E248" s="38"/>
      <c r="F248" s="82"/>
      <c r="G248" s="31"/>
      <c r="H248" s="25"/>
      <c r="I248" s="40"/>
      <c r="J248" s="40"/>
    </row>
    <row r="249" spans="1:10" x14ac:dyDescent="0.3">
      <c r="A249" s="24"/>
      <c r="E249" s="38"/>
      <c r="F249" s="82"/>
      <c r="G249" s="31"/>
      <c r="H249" s="35"/>
      <c r="I249" s="38"/>
      <c r="J249" s="38"/>
    </row>
    <row r="250" spans="1:10" x14ac:dyDescent="0.3">
      <c r="A250" s="24"/>
      <c r="E250" s="38"/>
      <c r="F250" s="82"/>
      <c r="G250" s="31"/>
      <c r="H250" s="35"/>
      <c r="I250" s="38"/>
      <c r="J250" s="38"/>
    </row>
    <row r="251" spans="1:10" x14ac:dyDescent="0.3">
      <c r="A251" s="24"/>
      <c r="E251" s="38"/>
      <c r="F251" s="82"/>
      <c r="G251" s="31"/>
      <c r="H251" s="25"/>
    </row>
    <row r="252" spans="1:10" x14ac:dyDescent="0.3">
      <c r="A252" s="24"/>
      <c r="E252" s="38"/>
      <c r="F252" s="82"/>
      <c r="G252" s="31"/>
      <c r="H252" s="25"/>
      <c r="I252" s="38"/>
      <c r="J252" s="38"/>
    </row>
    <row r="253" spans="1:10" x14ac:dyDescent="0.3">
      <c r="A253" s="24"/>
      <c r="E253" s="85"/>
      <c r="F253" s="81"/>
      <c r="G253" s="25"/>
      <c r="H253" s="41"/>
    </row>
    <row r="254" spans="1:10" x14ac:dyDescent="0.3">
      <c r="A254" s="24"/>
      <c r="E254" s="85"/>
      <c r="F254" s="81"/>
      <c r="G254" s="25"/>
      <c r="H254" s="41"/>
    </row>
    <row r="255" spans="1:10" x14ac:dyDescent="0.3">
      <c r="A255" s="24"/>
      <c r="E255" s="85"/>
      <c r="F255" s="69"/>
      <c r="G255" s="25"/>
      <c r="H255" s="42"/>
    </row>
    <row r="256" spans="1:10" x14ac:dyDescent="0.3">
      <c r="A256" s="24"/>
      <c r="E256" s="85"/>
      <c r="F256" s="69"/>
      <c r="G256" s="25"/>
    </row>
    <row r="257" spans="1:8" x14ac:dyDescent="0.3">
      <c r="A257" s="24"/>
      <c r="E257" s="85"/>
      <c r="F257" s="69"/>
      <c r="G257" s="25"/>
    </row>
    <row r="258" spans="1:8" x14ac:dyDescent="0.3">
      <c r="A258" s="24"/>
      <c r="E258" s="85"/>
      <c r="F258" s="69"/>
      <c r="G258" s="25"/>
      <c r="H258" s="42"/>
    </row>
    <row r="259" spans="1:8" x14ac:dyDescent="0.3">
      <c r="A259" s="24"/>
      <c r="E259" s="85"/>
      <c r="F259" s="69"/>
      <c r="G259" s="25"/>
    </row>
    <row r="260" spans="1:8" x14ac:dyDescent="0.3">
      <c r="A260" s="24"/>
      <c r="B260" s="24"/>
      <c r="C260" s="24"/>
      <c r="E260" s="85"/>
      <c r="F260" s="81"/>
      <c r="G260" s="25"/>
      <c r="H260" s="41"/>
    </row>
    <row r="261" spans="1:8" x14ac:dyDescent="0.3">
      <c r="A261" s="24"/>
      <c r="B261" s="24"/>
      <c r="C261" s="24"/>
      <c r="E261" s="85"/>
      <c r="F261" s="81"/>
      <c r="G261" s="25"/>
      <c r="H261" s="41"/>
    </row>
    <row r="262" spans="1:8" x14ac:dyDescent="0.3">
      <c r="A262" s="24"/>
      <c r="B262" s="24"/>
      <c r="C262" s="24"/>
      <c r="E262" s="85"/>
      <c r="F262" s="69"/>
      <c r="G262" s="25"/>
      <c r="H262" s="42"/>
    </row>
    <row r="263" spans="1:8" x14ac:dyDescent="0.3">
      <c r="A263" s="24"/>
      <c r="B263" s="24"/>
      <c r="C263" s="24"/>
      <c r="E263" s="85"/>
      <c r="F263" s="69"/>
      <c r="G263" s="25"/>
    </row>
    <row r="264" spans="1:8" x14ac:dyDescent="0.3">
      <c r="A264" s="24"/>
      <c r="B264" s="24"/>
      <c r="C264" s="24"/>
      <c r="E264" s="85"/>
      <c r="F264" s="69"/>
      <c r="G264" s="25"/>
    </row>
    <row r="265" spans="1:8" x14ac:dyDescent="0.3">
      <c r="A265" s="24"/>
      <c r="B265" s="24"/>
      <c r="C265" s="24"/>
      <c r="E265" s="85"/>
      <c r="F265" s="69"/>
      <c r="G265" s="25"/>
      <c r="H265" s="42"/>
    </row>
    <row r="266" spans="1:8" x14ac:dyDescent="0.3">
      <c r="A266" s="24"/>
      <c r="B266" s="24"/>
      <c r="C266" s="24"/>
      <c r="E266" s="85"/>
      <c r="F266" s="69"/>
      <c r="G266" s="25"/>
    </row>
    <row r="267" spans="1:8" x14ac:dyDescent="0.3">
      <c r="A267" s="24"/>
      <c r="E267" s="85"/>
      <c r="F267" s="102"/>
      <c r="G267" s="25"/>
      <c r="H267" s="41"/>
    </row>
    <row r="268" spans="1:8" x14ac:dyDescent="0.3">
      <c r="A268" s="24"/>
      <c r="E268" s="85"/>
      <c r="F268" s="85"/>
      <c r="G268" s="25"/>
    </row>
    <row r="269" spans="1:8" x14ac:dyDescent="0.3">
      <c r="A269" s="24"/>
      <c r="E269" s="85"/>
      <c r="F269" s="85"/>
      <c r="G269" s="25"/>
    </row>
    <row r="270" spans="1:8" x14ac:dyDescent="0.3">
      <c r="A270" s="24"/>
      <c r="E270" s="85"/>
      <c r="F270" s="102"/>
      <c r="G270" s="25"/>
      <c r="H270" s="42"/>
    </row>
    <row r="271" spans="1:8" x14ac:dyDescent="0.3">
      <c r="A271" s="24"/>
      <c r="E271" s="85"/>
      <c r="F271" s="85"/>
      <c r="G271" s="25"/>
    </row>
    <row r="272" spans="1:8" x14ac:dyDescent="0.3">
      <c r="A272" s="24"/>
      <c r="E272" s="85"/>
      <c r="F272" s="85"/>
      <c r="G272" s="25"/>
      <c r="H272" s="42"/>
    </row>
    <row r="273" spans="1:8" x14ac:dyDescent="0.3">
      <c r="A273" s="24"/>
      <c r="E273" s="85"/>
      <c r="F273" s="85"/>
      <c r="G273" s="25"/>
    </row>
    <row r="274" spans="1:8" x14ac:dyDescent="0.3">
      <c r="A274" s="24"/>
      <c r="E274" s="85"/>
      <c r="F274" s="102"/>
      <c r="G274" s="25"/>
    </row>
    <row r="275" spans="1:8" x14ac:dyDescent="0.3">
      <c r="A275" s="24"/>
      <c r="E275" s="85"/>
      <c r="F275" s="85"/>
      <c r="G275" s="25"/>
      <c r="H275" s="42"/>
    </row>
    <row r="276" spans="1:8" x14ac:dyDescent="0.3">
      <c r="A276" s="24"/>
      <c r="E276" s="85"/>
      <c r="F276" s="85"/>
      <c r="G276" s="25"/>
      <c r="H276" s="42"/>
    </row>
    <row r="277" spans="1:8" x14ac:dyDescent="0.3">
      <c r="A277" s="24"/>
      <c r="E277" s="85"/>
      <c r="F277" s="85"/>
      <c r="G277" s="25"/>
    </row>
    <row r="278" spans="1:8" x14ac:dyDescent="0.3">
      <c r="A278" s="24"/>
      <c r="E278" s="85"/>
      <c r="F278" s="102"/>
      <c r="G278" s="25"/>
      <c r="H278" s="42"/>
    </row>
    <row r="279" spans="1:8" x14ac:dyDescent="0.3">
      <c r="A279" s="24"/>
      <c r="E279" s="85"/>
      <c r="F279" s="85"/>
      <c r="G279" s="25"/>
    </row>
    <row r="280" spans="1:8" x14ac:dyDescent="0.3">
      <c r="A280" s="24"/>
      <c r="E280" s="85"/>
      <c r="F280" s="85"/>
      <c r="G280" s="25"/>
      <c r="H280" s="42"/>
    </row>
    <row r="281" spans="1:8" x14ac:dyDescent="0.3">
      <c r="A281" s="24"/>
      <c r="E281" s="85"/>
      <c r="F281" s="85"/>
      <c r="G281" s="25"/>
    </row>
    <row r="282" spans="1:8" x14ac:dyDescent="0.3">
      <c r="A282" s="24"/>
      <c r="E282" s="85"/>
      <c r="F282" s="102"/>
      <c r="G282" s="25"/>
    </row>
    <row r="283" spans="1:8" x14ac:dyDescent="0.3">
      <c r="A283" s="24"/>
      <c r="E283" s="85"/>
      <c r="F283" s="85"/>
      <c r="G283" s="25"/>
    </row>
    <row r="284" spans="1:8" x14ac:dyDescent="0.3">
      <c r="A284" s="24"/>
      <c r="E284" s="85"/>
      <c r="F284" s="85"/>
      <c r="G284" s="25"/>
    </row>
    <row r="285" spans="1:8" x14ac:dyDescent="0.3">
      <c r="A285" s="24"/>
      <c r="E285" s="85"/>
      <c r="F285" s="102"/>
      <c r="G285" s="25"/>
      <c r="H285" s="42"/>
    </row>
    <row r="286" spans="1:8" x14ac:dyDescent="0.3">
      <c r="A286" s="24"/>
      <c r="E286" s="85"/>
      <c r="F286" s="85"/>
      <c r="G286" s="25"/>
      <c r="H286" s="42"/>
    </row>
    <row r="287" spans="1:8" x14ac:dyDescent="0.3">
      <c r="A287" s="24"/>
      <c r="E287" s="85"/>
      <c r="F287" s="85"/>
      <c r="G287" s="25"/>
    </row>
    <row r="288" spans="1:8" x14ac:dyDescent="0.3">
      <c r="A288" s="24"/>
      <c r="E288" s="85"/>
      <c r="F288" s="85"/>
      <c r="G288" s="25"/>
    </row>
    <row r="289" spans="1:10" x14ac:dyDescent="0.3">
      <c r="A289" s="24"/>
      <c r="E289" s="85"/>
      <c r="F289" s="102"/>
      <c r="G289" s="25"/>
      <c r="H289" s="42"/>
    </row>
    <row r="290" spans="1:10" x14ac:dyDescent="0.3">
      <c r="A290" s="24"/>
      <c r="E290" s="85"/>
      <c r="F290" s="85"/>
      <c r="G290" s="25"/>
    </row>
    <row r="291" spans="1:10" x14ac:dyDescent="0.3">
      <c r="A291" s="24"/>
      <c r="E291" s="85"/>
      <c r="F291" s="85"/>
      <c r="G291" s="25"/>
    </row>
    <row r="292" spans="1:10" x14ac:dyDescent="0.3">
      <c r="A292" s="24"/>
      <c r="E292" s="85"/>
      <c r="F292" s="85"/>
      <c r="G292" s="25"/>
    </row>
    <row r="293" spans="1:10" x14ac:dyDescent="0.3">
      <c r="A293" s="24"/>
      <c r="E293" s="85"/>
      <c r="F293" s="102"/>
      <c r="G293" s="25"/>
      <c r="I293" s="40"/>
      <c r="J293" s="40"/>
    </row>
    <row r="294" spans="1:10" x14ac:dyDescent="0.3">
      <c r="A294" s="24"/>
      <c r="E294" s="85"/>
      <c r="F294" s="85"/>
      <c r="G294" s="25"/>
      <c r="H294" s="42"/>
      <c r="I294" s="40"/>
      <c r="J294" s="40"/>
    </row>
    <row r="295" spans="1:10" x14ac:dyDescent="0.3">
      <c r="A295" s="24"/>
      <c r="E295" s="85"/>
      <c r="F295" s="85"/>
      <c r="G295" s="25"/>
      <c r="I295" s="40"/>
      <c r="J295" s="40"/>
    </row>
    <row r="296" spans="1:10" x14ac:dyDescent="0.3">
      <c r="A296" s="24"/>
      <c r="E296" s="85"/>
      <c r="F296" s="69"/>
      <c r="G296" s="25"/>
    </row>
    <row r="297" spans="1:10" x14ac:dyDescent="0.3">
      <c r="A297" s="24"/>
      <c r="E297" s="85"/>
      <c r="F297" s="69"/>
      <c r="G297" s="25"/>
    </row>
    <row r="298" spans="1:10" x14ac:dyDescent="0.3">
      <c r="A298" s="24"/>
      <c r="E298" s="85"/>
      <c r="F298" s="69"/>
      <c r="G298" s="25"/>
      <c r="H298" s="42"/>
    </row>
    <row r="299" spans="1:10" x14ac:dyDescent="0.3">
      <c r="A299" s="24"/>
      <c r="E299" s="85"/>
      <c r="F299" s="69"/>
      <c r="G299" s="25"/>
    </row>
    <row r="300" spans="1:10" x14ac:dyDescent="0.3">
      <c r="A300" s="24"/>
      <c r="E300" s="85"/>
      <c r="F300" s="69"/>
      <c r="G300" s="25"/>
      <c r="H300" s="42"/>
    </row>
    <row r="301" spans="1:10" x14ac:dyDescent="0.3">
      <c r="A301" s="24"/>
      <c r="E301" s="85"/>
      <c r="F301" s="69"/>
      <c r="G301" s="25"/>
    </row>
    <row r="302" spans="1:10" x14ac:dyDescent="0.3">
      <c r="A302" s="24"/>
      <c r="E302" s="85"/>
      <c r="F302" s="69"/>
      <c r="G302" s="25"/>
    </row>
    <row r="303" spans="1:10" x14ac:dyDescent="0.3">
      <c r="A303" s="24"/>
      <c r="E303" s="85"/>
      <c r="F303" s="69"/>
      <c r="G303" s="25"/>
      <c r="H303" s="42"/>
    </row>
    <row r="304" spans="1:10" x14ac:dyDescent="0.3">
      <c r="A304" s="24"/>
      <c r="E304" s="85"/>
      <c r="F304" s="69"/>
      <c r="G304" s="25"/>
      <c r="H304" s="42"/>
    </row>
    <row r="305" spans="1:8" x14ac:dyDescent="0.3">
      <c r="A305" s="24"/>
      <c r="E305" s="85"/>
      <c r="F305" s="69"/>
      <c r="G305" s="25"/>
    </row>
    <row r="306" spans="1:8" x14ac:dyDescent="0.3">
      <c r="A306" s="24"/>
      <c r="E306" s="32"/>
      <c r="F306" s="25"/>
      <c r="G306" s="25"/>
    </row>
    <row r="307" spans="1:8" x14ac:dyDescent="0.3">
      <c r="A307" s="24"/>
      <c r="E307" s="85"/>
      <c r="F307" s="69"/>
      <c r="G307" s="25"/>
      <c r="H307" s="42"/>
    </row>
    <row r="308" spans="1:8" x14ac:dyDescent="0.3">
      <c r="A308" s="24"/>
      <c r="E308" s="85"/>
      <c r="F308" s="69"/>
      <c r="G308" s="25"/>
      <c r="H308" s="42"/>
    </row>
    <row r="309" spans="1:8" x14ac:dyDescent="0.3">
      <c r="A309" s="24"/>
      <c r="E309" s="85"/>
      <c r="F309" s="69"/>
      <c r="G309" s="25"/>
    </row>
    <row r="310" spans="1:8" x14ac:dyDescent="0.3">
      <c r="A310" s="24"/>
      <c r="E310" s="85"/>
      <c r="F310" s="69"/>
      <c r="G310" s="25"/>
    </row>
    <row r="311" spans="1:8" x14ac:dyDescent="0.3">
      <c r="A311" s="24"/>
      <c r="E311" s="85"/>
      <c r="F311" s="69"/>
      <c r="G311" s="25"/>
    </row>
    <row r="312" spans="1:8" x14ac:dyDescent="0.3">
      <c r="A312" s="24"/>
      <c r="E312" s="85"/>
      <c r="F312" s="81"/>
      <c r="G312" s="31"/>
    </row>
    <row r="313" spans="1:8" x14ac:dyDescent="0.3">
      <c r="A313" s="24"/>
      <c r="E313" s="85"/>
      <c r="F313" s="81"/>
      <c r="G313" s="31"/>
    </row>
    <row r="314" spans="1:8" x14ac:dyDescent="0.3">
      <c r="A314" s="24"/>
      <c r="E314" s="85"/>
      <c r="F314" s="81"/>
      <c r="G314" s="31"/>
    </row>
    <row r="315" spans="1:8" x14ac:dyDescent="0.3">
      <c r="A315" s="24"/>
      <c r="E315" s="85"/>
      <c r="F315" s="81"/>
      <c r="G315" s="31"/>
    </row>
    <row r="316" spans="1:8" x14ac:dyDescent="0.3">
      <c r="A316" s="24"/>
      <c r="E316" s="85"/>
      <c r="F316" s="81"/>
      <c r="G316" s="31"/>
    </row>
    <row r="317" spans="1:8" x14ac:dyDescent="0.3">
      <c r="A317" s="24"/>
      <c r="E317" s="85"/>
      <c r="F317" s="81"/>
      <c r="G317" s="31"/>
    </row>
    <row r="318" spans="1:8" x14ac:dyDescent="0.3">
      <c r="A318" s="24"/>
      <c r="E318" s="85"/>
      <c r="F318" s="81"/>
      <c r="G318" s="31"/>
    </row>
    <row r="319" spans="1:8" x14ac:dyDescent="0.3">
      <c r="A319" s="24"/>
      <c r="E319" s="85"/>
      <c r="F319" s="81"/>
      <c r="G319" s="31"/>
    </row>
    <row r="320" spans="1:8" x14ac:dyDescent="0.3">
      <c r="A320" s="24"/>
      <c r="E320" s="85"/>
      <c r="F320" s="81"/>
      <c r="G320" s="31"/>
    </row>
    <row r="321" spans="1:9" x14ac:dyDescent="0.3">
      <c r="A321" s="24"/>
      <c r="E321" s="85"/>
      <c r="F321" s="81"/>
      <c r="G321" s="43"/>
    </row>
    <row r="322" spans="1:9" x14ac:dyDescent="0.3">
      <c r="A322" s="24"/>
      <c r="E322" s="85"/>
      <c r="F322" s="81"/>
      <c r="G322" s="43"/>
    </row>
    <row r="323" spans="1:9" x14ac:dyDescent="0.3">
      <c r="A323" s="24"/>
      <c r="E323" s="85"/>
      <c r="F323" s="81"/>
      <c r="G323" s="31"/>
    </row>
    <row r="324" spans="1:9" x14ac:dyDescent="0.3">
      <c r="A324" s="24"/>
      <c r="E324" s="85"/>
      <c r="F324" s="81"/>
      <c r="G324" s="31"/>
    </row>
    <row r="325" spans="1:9" x14ac:dyDescent="0.3">
      <c r="A325" s="24"/>
      <c r="E325" s="85"/>
      <c r="F325" s="81"/>
      <c r="G325" s="31"/>
    </row>
    <row r="326" spans="1:9" x14ac:dyDescent="0.3">
      <c r="A326" s="24"/>
      <c r="E326" s="30"/>
      <c r="F326" s="31"/>
      <c r="G326" s="31"/>
      <c r="I326" s="30"/>
    </row>
    <row r="327" spans="1:9" x14ac:dyDescent="0.3">
      <c r="A327" s="24"/>
      <c r="E327" s="85"/>
      <c r="F327" s="82"/>
      <c r="G327" s="31"/>
      <c r="I327" s="32"/>
    </row>
    <row r="328" spans="1:9" x14ac:dyDescent="0.3">
      <c r="A328" s="24"/>
      <c r="E328" s="85"/>
      <c r="F328" s="82"/>
      <c r="G328" s="31"/>
      <c r="I328" s="32"/>
    </row>
    <row r="329" spans="1:9" x14ac:dyDescent="0.3">
      <c r="A329" s="24"/>
      <c r="E329" s="32"/>
      <c r="F329" s="82"/>
      <c r="G329" s="31"/>
      <c r="I329" s="30"/>
    </row>
    <row r="330" spans="1:9" x14ac:dyDescent="0.3">
      <c r="A330" s="24"/>
      <c r="E330" s="32"/>
      <c r="F330" s="82"/>
      <c r="G330" s="31"/>
      <c r="I330" s="30"/>
    </row>
    <row r="331" spans="1:9" x14ac:dyDescent="0.3">
      <c r="A331" s="24"/>
      <c r="E331" s="30"/>
      <c r="F331" s="31"/>
      <c r="G331" s="31"/>
      <c r="I331" s="30"/>
    </row>
    <row r="332" spans="1:9" x14ac:dyDescent="0.3">
      <c r="A332" s="24"/>
      <c r="E332" s="30"/>
      <c r="F332" s="31"/>
      <c r="G332" s="31"/>
      <c r="I332" s="30"/>
    </row>
    <row r="333" spans="1:9" x14ac:dyDescent="0.3">
      <c r="A333" s="24"/>
      <c r="E333" s="30"/>
      <c r="F333" s="31"/>
      <c r="G333" s="31"/>
      <c r="I333" s="30"/>
    </row>
    <row r="334" spans="1:9" x14ac:dyDescent="0.3">
      <c r="A334" s="24"/>
      <c r="E334" s="85"/>
      <c r="F334" s="82"/>
      <c r="G334" s="31"/>
    </row>
    <row r="335" spans="1:9" x14ac:dyDescent="0.3">
      <c r="A335" s="24"/>
      <c r="E335" s="85"/>
      <c r="F335" s="82"/>
      <c r="G335" s="31"/>
    </row>
    <row r="336" spans="1:9" x14ac:dyDescent="0.3">
      <c r="A336" s="24"/>
      <c r="E336" s="85"/>
      <c r="F336" s="82"/>
      <c r="G336" s="31"/>
    </row>
    <row r="337" spans="1:7" x14ac:dyDescent="0.3">
      <c r="A337" s="24"/>
      <c r="E337" s="85"/>
      <c r="F337" s="82"/>
      <c r="G337" s="31"/>
    </row>
    <row r="338" spans="1:7" x14ac:dyDescent="0.3">
      <c r="A338" s="24"/>
      <c r="E338" s="85"/>
      <c r="F338" s="82"/>
      <c r="G338" s="31"/>
    </row>
    <row r="339" spans="1:7" x14ac:dyDescent="0.3">
      <c r="A339" s="24"/>
      <c r="E339" s="85"/>
      <c r="F339" s="82"/>
      <c r="G339" s="31"/>
    </row>
    <row r="340" spans="1:7" x14ac:dyDescent="0.3">
      <c r="A340" s="24"/>
      <c r="E340" s="85"/>
      <c r="F340" s="82"/>
      <c r="G340" s="31"/>
    </row>
    <row r="341" spans="1:7" x14ac:dyDescent="0.3">
      <c r="A341" s="24"/>
      <c r="E341" s="85"/>
      <c r="F341" s="82"/>
      <c r="G341" s="31"/>
    </row>
    <row r="342" spans="1:7" x14ac:dyDescent="0.3">
      <c r="A342" s="24"/>
      <c r="E342" s="30"/>
      <c r="F342" s="82"/>
      <c r="G342" s="31"/>
    </row>
    <row r="343" spans="1:7" x14ac:dyDescent="0.3">
      <c r="A343" s="24"/>
      <c r="E343" s="30"/>
      <c r="F343" s="82"/>
      <c r="G343" s="31"/>
    </row>
    <row r="344" spans="1:7" x14ac:dyDescent="0.3">
      <c r="A344" s="24"/>
      <c r="E344" s="30"/>
      <c r="F344" s="82"/>
      <c r="G344" s="31"/>
    </row>
    <row r="345" spans="1:7" x14ac:dyDescent="0.3">
      <c r="A345" s="24"/>
      <c r="E345" s="30"/>
      <c r="F345" s="82"/>
      <c r="G345" s="31"/>
    </row>
    <row r="346" spans="1:7" x14ac:dyDescent="0.3">
      <c r="A346" s="24"/>
      <c r="E346" s="30"/>
      <c r="F346" s="82"/>
      <c r="G346" s="31"/>
    </row>
    <row r="347" spans="1:7" x14ac:dyDescent="0.3">
      <c r="A347" s="24"/>
      <c r="E347" s="30"/>
      <c r="F347" s="82"/>
      <c r="G347" s="31"/>
    </row>
    <row r="348" spans="1:7" x14ac:dyDescent="0.3">
      <c r="A348" s="24"/>
      <c r="E348" s="44"/>
      <c r="F348" s="31"/>
      <c r="G348" s="31"/>
    </row>
    <row r="349" spans="1:7" x14ac:dyDescent="0.3">
      <c r="A349" s="24"/>
      <c r="E349" s="30"/>
      <c r="F349" s="82"/>
      <c r="G349" s="31"/>
    </row>
    <row r="350" spans="1:7" x14ac:dyDescent="0.3">
      <c r="A350" s="24"/>
      <c r="E350" s="30"/>
      <c r="F350" s="82"/>
      <c r="G350" s="31"/>
    </row>
    <row r="351" spans="1:7" x14ac:dyDescent="0.3">
      <c r="A351" s="24"/>
      <c r="E351" s="30"/>
      <c r="F351" s="81"/>
      <c r="G351" s="31"/>
    </row>
    <row r="352" spans="1:7" x14ac:dyDescent="0.3">
      <c r="A352" s="24"/>
      <c r="E352" s="30"/>
      <c r="F352" s="81"/>
      <c r="G352" s="31"/>
    </row>
    <row r="353" spans="1:9" x14ac:dyDescent="0.3">
      <c r="A353" s="24"/>
      <c r="E353" s="85"/>
      <c r="F353" s="82"/>
      <c r="G353" s="31"/>
    </row>
    <row r="354" spans="1:9" x14ac:dyDescent="0.3">
      <c r="A354" s="24"/>
      <c r="E354" s="85"/>
      <c r="F354" s="82"/>
      <c r="G354" s="31"/>
    </row>
    <row r="355" spans="1:9" x14ac:dyDescent="0.3">
      <c r="A355" s="24"/>
      <c r="E355" s="85"/>
      <c r="F355" s="82"/>
      <c r="G355" s="31"/>
    </row>
    <row r="356" spans="1:9" x14ac:dyDescent="0.3">
      <c r="A356" s="24"/>
      <c r="E356" s="85"/>
      <c r="F356" s="82"/>
      <c r="G356" s="31"/>
    </row>
    <row r="357" spans="1:9" x14ac:dyDescent="0.3">
      <c r="A357" s="24"/>
      <c r="E357" s="85"/>
      <c r="F357" s="82"/>
      <c r="G357" s="31"/>
    </row>
    <row r="358" spans="1:9" x14ac:dyDescent="0.3">
      <c r="A358" s="24"/>
      <c r="E358" s="85"/>
      <c r="F358" s="82"/>
      <c r="G358" s="31"/>
    </row>
    <row r="359" spans="1:9" x14ac:dyDescent="0.3">
      <c r="A359" s="24"/>
      <c r="E359" s="85"/>
      <c r="F359" s="82"/>
      <c r="G359" s="31"/>
    </row>
    <row r="360" spans="1:9" x14ac:dyDescent="0.3">
      <c r="A360" s="24"/>
      <c r="B360" s="24"/>
      <c r="C360" s="24"/>
      <c r="E360" s="30"/>
      <c r="F360" s="31"/>
      <c r="G360" s="31"/>
    </row>
    <row r="361" spans="1:9" x14ac:dyDescent="0.3">
      <c r="A361" s="24"/>
      <c r="B361" s="24"/>
      <c r="C361" s="24"/>
      <c r="E361" s="30"/>
      <c r="F361" s="31"/>
      <c r="G361" s="31"/>
    </row>
    <row r="362" spans="1:9" x14ac:dyDescent="0.3">
      <c r="A362" s="24"/>
      <c r="B362" s="24"/>
      <c r="C362" s="24"/>
      <c r="E362" s="85"/>
      <c r="F362" s="82"/>
      <c r="G362" s="31"/>
    </row>
    <row r="363" spans="1:9" x14ac:dyDescent="0.3">
      <c r="A363" s="24"/>
      <c r="B363" s="24"/>
      <c r="C363" s="24"/>
      <c r="E363" s="85"/>
      <c r="F363" s="82"/>
      <c r="G363" s="31"/>
    </row>
    <row r="364" spans="1:9" x14ac:dyDescent="0.3">
      <c r="A364" s="24"/>
      <c r="B364" s="24"/>
      <c r="C364" s="24"/>
      <c r="E364" s="30"/>
      <c r="F364" s="31"/>
      <c r="G364" s="31"/>
    </row>
    <row r="365" spans="1:9" x14ac:dyDescent="0.3">
      <c r="A365" s="24"/>
      <c r="B365" s="24"/>
      <c r="C365" s="24"/>
      <c r="E365" s="30"/>
      <c r="F365" s="31"/>
      <c r="G365" s="31"/>
    </row>
    <row r="366" spans="1:9" x14ac:dyDescent="0.3">
      <c r="A366" s="24"/>
      <c r="B366" s="24"/>
      <c r="C366" s="24"/>
      <c r="E366" s="30"/>
      <c r="F366" s="31"/>
      <c r="G366" s="31"/>
    </row>
    <row r="367" spans="1:9" x14ac:dyDescent="0.3">
      <c r="A367" s="24"/>
      <c r="B367" s="45"/>
      <c r="C367" s="45"/>
      <c r="E367" s="30"/>
      <c r="F367" s="31"/>
      <c r="G367" s="31"/>
      <c r="I367" s="30"/>
    </row>
    <row r="368" spans="1:9" x14ac:dyDescent="0.3">
      <c r="A368" s="24"/>
      <c r="B368" s="45"/>
      <c r="C368" s="45"/>
      <c r="E368" s="30"/>
      <c r="F368" s="31"/>
      <c r="G368" s="31"/>
      <c r="I368" s="32"/>
    </row>
    <row r="369" spans="1:10" x14ac:dyDescent="0.3">
      <c r="A369" s="24"/>
      <c r="B369" s="45"/>
      <c r="C369" s="45"/>
      <c r="E369" s="30"/>
      <c r="F369" s="31"/>
      <c r="G369" s="31"/>
      <c r="I369" s="32"/>
    </row>
    <row r="370" spans="1:10" x14ac:dyDescent="0.3">
      <c r="A370" s="24"/>
      <c r="B370" s="45"/>
      <c r="C370" s="45"/>
      <c r="E370" s="30"/>
      <c r="F370" s="31"/>
      <c r="G370" s="31"/>
      <c r="I370" s="30"/>
    </row>
    <row r="371" spans="1:10" x14ac:dyDescent="0.3">
      <c r="A371" s="24"/>
      <c r="B371" s="45"/>
      <c r="C371" s="45"/>
      <c r="E371" s="30"/>
      <c r="F371" s="31"/>
      <c r="G371" s="31"/>
      <c r="I371" s="30"/>
    </row>
    <row r="372" spans="1:10" x14ac:dyDescent="0.3">
      <c r="A372" s="24"/>
      <c r="B372" s="45"/>
      <c r="C372" s="45"/>
      <c r="E372" s="30"/>
      <c r="F372" s="31"/>
      <c r="G372" s="31"/>
      <c r="I372" s="30"/>
    </row>
    <row r="373" spans="1:10" x14ac:dyDescent="0.3">
      <c r="A373" s="24"/>
      <c r="B373" s="45"/>
      <c r="C373" s="45"/>
      <c r="E373" s="30"/>
      <c r="F373" s="31"/>
      <c r="G373" s="31"/>
      <c r="I373" s="30"/>
    </row>
    <row r="374" spans="1:10" x14ac:dyDescent="0.3">
      <c r="A374" s="24"/>
      <c r="E374" s="30"/>
      <c r="F374" s="46"/>
      <c r="G374" s="43"/>
      <c r="H374" s="25"/>
      <c r="I374" s="36"/>
      <c r="J374" s="36"/>
    </row>
    <row r="375" spans="1:10" x14ac:dyDescent="0.3">
      <c r="A375" s="24"/>
      <c r="E375" s="30"/>
      <c r="F375" s="101"/>
      <c r="G375" s="43"/>
      <c r="H375" s="25"/>
      <c r="I375" s="38"/>
      <c r="J375" s="38"/>
    </row>
    <row r="376" spans="1:10" x14ac:dyDescent="0.3">
      <c r="A376" s="24"/>
      <c r="E376" s="30"/>
      <c r="F376" s="101"/>
      <c r="G376" s="43"/>
      <c r="H376" s="25"/>
      <c r="I376" s="38"/>
      <c r="J376" s="38"/>
    </row>
    <row r="377" spans="1:10" x14ac:dyDescent="0.3">
      <c r="A377" s="24"/>
      <c r="E377" s="30"/>
      <c r="F377" s="46"/>
      <c r="G377" s="43"/>
      <c r="H377" s="25"/>
      <c r="I377" s="36"/>
      <c r="J377" s="36"/>
    </row>
    <row r="378" spans="1:10" x14ac:dyDescent="0.3">
      <c r="A378" s="24"/>
      <c r="E378" s="85"/>
      <c r="F378" s="98"/>
      <c r="G378" s="43"/>
      <c r="H378" s="25"/>
      <c r="I378" s="40"/>
      <c r="J378" s="40"/>
    </row>
    <row r="379" spans="1:10" x14ac:dyDescent="0.3">
      <c r="A379" s="24"/>
      <c r="E379" s="85"/>
      <c r="F379" s="98"/>
      <c r="G379" s="43"/>
      <c r="H379" s="25"/>
      <c r="I379" s="40"/>
      <c r="J379" s="40"/>
    </row>
    <row r="380" spans="1:10" x14ac:dyDescent="0.3">
      <c r="A380" s="24"/>
      <c r="B380" s="40"/>
      <c r="C380" s="40"/>
      <c r="D380" s="40"/>
      <c r="E380" s="32"/>
      <c r="F380" s="43"/>
      <c r="G380" s="43"/>
      <c r="H380" s="40"/>
      <c r="I380" s="40"/>
      <c r="J380" s="40"/>
    </row>
    <row r="381" spans="1:10" x14ac:dyDescent="0.3">
      <c r="A381" s="24"/>
      <c r="E381" s="32"/>
      <c r="F381" s="43"/>
      <c r="G381" s="43"/>
      <c r="H381" s="25"/>
      <c r="I381" s="40"/>
      <c r="J381" s="40"/>
    </row>
    <row r="382" spans="1:10" x14ac:dyDescent="0.3">
      <c r="A382" s="24"/>
      <c r="E382" s="32"/>
      <c r="F382" s="43"/>
      <c r="G382" s="43"/>
      <c r="H382" s="25"/>
      <c r="I382" s="40"/>
      <c r="J382" s="40"/>
    </row>
    <row r="383" spans="1:10" x14ac:dyDescent="0.3">
      <c r="A383" s="24"/>
      <c r="E383" s="32"/>
      <c r="F383" s="43"/>
      <c r="G383" s="43"/>
      <c r="H383" s="25"/>
      <c r="I383" s="40"/>
      <c r="J383" s="40"/>
    </row>
    <row r="384" spans="1:10" x14ac:dyDescent="0.3">
      <c r="A384" s="24"/>
      <c r="E384" s="32"/>
      <c r="F384" s="43"/>
      <c r="G384" s="43"/>
      <c r="H384" s="25"/>
      <c r="I384" s="40"/>
      <c r="J384" s="40"/>
    </row>
    <row r="385" spans="1:10" x14ac:dyDescent="0.3">
      <c r="A385" s="24"/>
      <c r="E385" s="32"/>
      <c r="F385" s="43"/>
      <c r="G385" s="43"/>
      <c r="H385" s="25"/>
      <c r="I385" s="40"/>
      <c r="J385" s="40"/>
    </row>
    <row r="386" spans="1:10" x14ac:dyDescent="0.3">
      <c r="A386" s="24"/>
      <c r="E386" s="85"/>
      <c r="F386" s="98"/>
      <c r="G386" s="43"/>
      <c r="H386" s="25"/>
    </row>
    <row r="387" spans="1:10" x14ac:dyDescent="0.3">
      <c r="A387" s="24"/>
      <c r="E387" s="85"/>
      <c r="F387" s="98"/>
      <c r="G387" s="43"/>
      <c r="H387" s="25"/>
      <c r="I387" s="38"/>
      <c r="J387" s="38"/>
    </row>
    <row r="388" spans="1:10" x14ac:dyDescent="0.3">
      <c r="A388" s="24"/>
      <c r="E388" s="30"/>
      <c r="F388" s="98"/>
      <c r="G388" s="43"/>
      <c r="H388" s="25"/>
      <c r="I388" s="36"/>
      <c r="J388" s="36"/>
    </row>
    <row r="389" spans="1:10" x14ac:dyDescent="0.3">
      <c r="A389" s="24"/>
      <c r="E389" s="30"/>
      <c r="F389" s="98"/>
      <c r="G389" s="43"/>
      <c r="H389" s="35"/>
      <c r="I389" s="36"/>
      <c r="J389" s="36"/>
    </row>
    <row r="390" spans="1:10" x14ac:dyDescent="0.3">
      <c r="A390" s="24"/>
      <c r="E390" s="30"/>
      <c r="F390" s="98"/>
      <c r="G390" s="43"/>
      <c r="H390" s="25"/>
      <c r="I390" s="38"/>
      <c r="J390" s="38"/>
    </row>
    <row r="391" spans="1:10" x14ac:dyDescent="0.3">
      <c r="A391" s="24"/>
      <c r="E391" s="30"/>
      <c r="F391" s="98"/>
      <c r="G391" s="43"/>
      <c r="H391" s="25"/>
      <c r="I391" s="38"/>
      <c r="J391" s="38"/>
    </row>
    <row r="392" spans="1:10" x14ac:dyDescent="0.3">
      <c r="A392" s="24"/>
      <c r="E392" s="30"/>
      <c r="F392" s="101"/>
      <c r="G392" s="43"/>
      <c r="H392" s="25"/>
      <c r="I392" s="38"/>
      <c r="J392" s="38"/>
    </row>
    <row r="393" spans="1:10" x14ac:dyDescent="0.3">
      <c r="A393" s="24"/>
      <c r="E393" s="30"/>
      <c r="F393" s="101"/>
      <c r="G393" s="43"/>
      <c r="H393" s="25"/>
      <c r="I393" s="38"/>
      <c r="J393" s="38"/>
    </row>
    <row r="394" spans="1:10" x14ac:dyDescent="0.3">
      <c r="A394" s="24"/>
      <c r="E394" s="85"/>
      <c r="F394" s="98"/>
      <c r="G394" s="43"/>
      <c r="H394" s="25"/>
      <c r="I394" s="38"/>
      <c r="J394" s="38"/>
    </row>
    <row r="395" spans="1:10" x14ac:dyDescent="0.3">
      <c r="A395" s="24"/>
      <c r="E395" s="85"/>
      <c r="F395" s="98"/>
      <c r="G395" s="43"/>
      <c r="H395" s="25"/>
      <c r="I395" s="38"/>
      <c r="J395" s="38"/>
    </row>
    <row r="396" spans="1:10" x14ac:dyDescent="0.3">
      <c r="A396" s="24"/>
      <c r="E396" s="32"/>
      <c r="F396" s="46"/>
      <c r="G396" s="43"/>
      <c r="H396" s="25"/>
      <c r="I396" s="40"/>
      <c r="J396" s="40"/>
    </row>
    <row r="397" spans="1:10" x14ac:dyDescent="0.3">
      <c r="A397" s="24"/>
      <c r="E397" s="85"/>
      <c r="F397" s="98"/>
      <c r="G397" s="43"/>
      <c r="H397" s="25"/>
      <c r="I397" s="36"/>
      <c r="J397" s="36"/>
    </row>
    <row r="398" spans="1:10" x14ac:dyDescent="0.3">
      <c r="A398" s="24"/>
      <c r="E398" s="85"/>
      <c r="F398" s="98"/>
      <c r="G398" s="43"/>
      <c r="H398" s="25"/>
      <c r="I398" s="36"/>
      <c r="J398" s="36"/>
    </row>
    <row r="399" spans="1:10" x14ac:dyDescent="0.3">
      <c r="A399" s="24"/>
      <c r="E399" s="85"/>
      <c r="F399" s="98"/>
      <c r="G399" s="43"/>
      <c r="H399" s="25"/>
      <c r="I399" s="36"/>
      <c r="J399" s="36"/>
    </row>
    <row r="400" spans="1:10" x14ac:dyDescent="0.3">
      <c r="A400" s="24"/>
      <c r="E400" s="85"/>
      <c r="F400" s="98"/>
      <c r="G400" s="43"/>
      <c r="H400" s="25"/>
      <c r="I400" s="38"/>
      <c r="J400" s="38"/>
    </row>
    <row r="401" spans="1:10" x14ac:dyDescent="0.3">
      <c r="A401" s="24"/>
      <c r="E401" s="85"/>
      <c r="F401" s="98"/>
      <c r="G401" s="43"/>
      <c r="H401" s="25"/>
      <c r="I401" s="40"/>
      <c r="J401" s="40"/>
    </row>
    <row r="402" spans="1:10" x14ac:dyDescent="0.3">
      <c r="A402" s="24"/>
      <c r="E402" s="85"/>
      <c r="F402" s="98"/>
      <c r="G402" s="43"/>
      <c r="H402" s="25"/>
      <c r="I402" s="40"/>
      <c r="J402" s="40"/>
    </row>
    <row r="403" spans="1:10" x14ac:dyDescent="0.3">
      <c r="A403" s="24"/>
      <c r="E403" s="32"/>
      <c r="F403" s="46"/>
      <c r="G403" s="43"/>
      <c r="H403" s="25"/>
      <c r="I403" s="40"/>
      <c r="J403" s="40"/>
    </row>
    <row r="404" spans="1:10" x14ac:dyDescent="0.3">
      <c r="A404" s="24"/>
      <c r="E404" s="32"/>
      <c r="F404" s="43"/>
      <c r="G404" s="43"/>
      <c r="H404" s="25"/>
      <c r="I404" s="40"/>
      <c r="J404" s="40"/>
    </row>
    <row r="405" spans="1:10" x14ac:dyDescent="0.3">
      <c r="A405" s="24"/>
      <c r="E405" s="32"/>
      <c r="F405" s="43"/>
      <c r="G405" s="43"/>
      <c r="H405" s="25"/>
      <c r="I405" s="40"/>
      <c r="J405" s="40"/>
    </row>
    <row r="406" spans="1:10" x14ac:dyDescent="0.3">
      <c r="A406" s="24"/>
      <c r="E406" s="32"/>
      <c r="F406" s="43"/>
      <c r="G406" s="43"/>
      <c r="H406" s="25"/>
      <c r="I406" s="40"/>
      <c r="J406" s="40"/>
    </row>
    <row r="407" spans="1:10" x14ac:dyDescent="0.3">
      <c r="A407" s="24"/>
      <c r="E407" s="32"/>
      <c r="F407" s="43"/>
      <c r="G407" s="43"/>
      <c r="H407" s="25"/>
      <c r="I407" s="40"/>
      <c r="J407" s="40"/>
    </row>
    <row r="408" spans="1:10" x14ac:dyDescent="0.3">
      <c r="A408" s="24"/>
      <c r="E408" s="30"/>
      <c r="F408" s="43"/>
      <c r="G408" s="43"/>
      <c r="H408" s="25"/>
      <c r="I408" s="36"/>
      <c r="J408" s="36"/>
    </row>
    <row r="409" spans="1:10" x14ac:dyDescent="0.3">
      <c r="A409" s="24"/>
      <c r="E409" s="30"/>
      <c r="F409" s="43"/>
      <c r="G409" s="43"/>
      <c r="H409" s="25"/>
      <c r="I409" s="38"/>
      <c r="J409" s="38"/>
    </row>
    <row r="410" spans="1:10" x14ac:dyDescent="0.3">
      <c r="A410" s="24"/>
      <c r="E410" s="30"/>
      <c r="F410" s="43"/>
      <c r="G410" s="43"/>
      <c r="H410" s="25"/>
      <c r="I410" s="36"/>
      <c r="J410" s="36"/>
    </row>
    <row r="411" spans="1:10" x14ac:dyDescent="0.3">
      <c r="A411" s="24"/>
      <c r="E411" s="85"/>
      <c r="F411" s="101"/>
      <c r="G411" s="43"/>
      <c r="H411" s="25"/>
      <c r="I411" s="36"/>
      <c r="J411" s="36"/>
    </row>
    <row r="412" spans="1:10" x14ac:dyDescent="0.3">
      <c r="A412" s="24"/>
      <c r="E412" s="85"/>
      <c r="F412" s="101"/>
      <c r="G412" s="43"/>
      <c r="H412" s="25"/>
      <c r="I412" s="36"/>
      <c r="J412" s="36"/>
    </row>
    <row r="413" spans="1:10" x14ac:dyDescent="0.3">
      <c r="A413" s="24"/>
      <c r="E413" s="85"/>
      <c r="F413" s="101"/>
      <c r="G413" s="43"/>
      <c r="H413" s="25"/>
      <c r="I413" s="40"/>
      <c r="J413" s="40"/>
    </row>
    <row r="414" spans="1:10" x14ac:dyDescent="0.3">
      <c r="A414" s="24"/>
      <c r="E414" s="85"/>
      <c r="F414" s="101"/>
      <c r="G414" s="43"/>
      <c r="H414" s="25"/>
      <c r="I414" s="40"/>
      <c r="J414" s="40"/>
    </row>
    <row r="415" spans="1:10" x14ac:dyDescent="0.3">
      <c r="A415" s="24"/>
      <c r="E415" s="32"/>
      <c r="F415" s="43"/>
      <c r="G415" s="43"/>
      <c r="H415" s="25"/>
      <c r="I415" s="40"/>
      <c r="J415" s="40"/>
    </row>
    <row r="416" spans="1:10" x14ac:dyDescent="0.3">
      <c r="A416" s="24"/>
      <c r="E416" s="32"/>
      <c r="F416" s="43"/>
      <c r="G416" s="43"/>
      <c r="H416" s="25"/>
      <c r="I416" s="40"/>
      <c r="J416" s="40"/>
    </row>
    <row r="417" spans="1:10" x14ac:dyDescent="0.3">
      <c r="A417" s="24"/>
      <c r="E417" s="32"/>
      <c r="F417" s="43"/>
      <c r="G417" s="43"/>
      <c r="H417" s="25"/>
      <c r="I417" s="40"/>
      <c r="J417" s="40"/>
    </row>
    <row r="418" spans="1:10" x14ac:dyDescent="0.3">
      <c r="A418" s="24"/>
      <c r="E418" s="32"/>
      <c r="F418" s="43"/>
      <c r="G418" s="43"/>
      <c r="H418" s="25"/>
      <c r="I418" s="40"/>
      <c r="J418" s="40"/>
    </row>
    <row r="419" spans="1:10" x14ac:dyDescent="0.3">
      <c r="A419" s="24"/>
      <c r="E419" s="30"/>
      <c r="F419" s="98"/>
      <c r="G419" s="43"/>
      <c r="H419" s="25"/>
      <c r="I419" s="36"/>
      <c r="J419" s="36"/>
    </row>
    <row r="420" spans="1:10" x14ac:dyDescent="0.3">
      <c r="A420" s="24"/>
      <c r="E420" s="30"/>
      <c r="F420" s="98"/>
      <c r="G420" s="43"/>
      <c r="H420" s="35"/>
      <c r="I420" s="36"/>
      <c r="J420" s="36"/>
    </row>
    <row r="421" spans="1:10" x14ac:dyDescent="0.3">
      <c r="A421" s="24"/>
      <c r="E421" s="85"/>
      <c r="F421" s="98"/>
      <c r="G421" s="43"/>
      <c r="H421" s="25"/>
      <c r="I421" s="38"/>
      <c r="J421" s="38"/>
    </row>
    <row r="422" spans="1:10" x14ac:dyDescent="0.3">
      <c r="A422" s="24"/>
      <c r="E422" s="85"/>
      <c r="F422" s="98"/>
      <c r="G422" s="43"/>
      <c r="H422" s="25"/>
      <c r="I422" s="38"/>
      <c r="J422" s="38"/>
    </row>
    <row r="423" spans="1:10" x14ac:dyDescent="0.3">
      <c r="A423" s="24"/>
      <c r="E423" s="32"/>
      <c r="F423" s="46"/>
      <c r="G423" s="43"/>
      <c r="H423" s="25"/>
      <c r="I423" s="40"/>
      <c r="J423" s="40"/>
    </row>
    <row r="424" spans="1:10" x14ac:dyDescent="0.3">
      <c r="A424" s="24"/>
      <c r="E424" s="85"/>
      <c r="F424" s="98"/>
      <c r="G424" s="43"/>
      <c r="H424" s="25"/>
      <c r="I424" s="36"/>
      <c r="J424" s="36"/>
    </row>
    <row r="425" spans="1:10" x14ac:dyDescent="0.3">
      <c r="A425" s="24"/>
      <c r="E425" s="85"/>
      <c r="F425" s="98"/>
      <c r="G425" s="43"/>
      <c r="H425" s="25"/>
      <c r="I425" s="36"/>
      <c r="J425" s="36"/>
    </row>
    <row r="426" spans="1:10" x14ac:dyDescent="0.3">
      <c r="A426" s="24"/>
      <c r="E426" s="85"/>
      <c r="F426" s="98"/>
      <c r="G426" s="43"/>
      <c r="H426" s="25"/>
      <c r="I426" s="38"/>
      <c r="J426" s="38"/>
    </row>
    <row r="427" spans="1:10" x14ac:dyDescent="0.3">
      <c r="A427" s="24"/>
      <c r="E427" s="85"/>
      <c r="F427" s="98"/>
      <c r="G427" s="43"/>
      <c r="H427" s="25"/>
      <c r="I427" s="40"/>
      <c r="J427" s="40"/>
    </row>
    <row r="428" spans="1:10" x14ac:dyDescent="0.3">
      <c r="A428" s="24"/>
      <c r="E428" s="85"/>
      <c r="F428" s="98"/>
      <c r="G428" s="43"/>
      <c r="H428" s="25"/>
      <c r="I428" s="40"/>
      <c r="J428" s="40"/>
    </row>
    <row r="429" spans="1:10" x14ac:dyDescent="0.3">
      <c r="A429" s="24"/>
      <c r="E429" s="32"/>
      <c r="F429" s="46"/>
      <c r="G429" s="43"/>
      <c r="H429" s="25"/>
      <c r="I429" s="40"/>
      <c r="J429" s="40"/>
    </row>
    <row r="430" spans="1:10" x14ac:dyDescent="0.3">
      <c r="A430" s="24"/>
      <c r="E430" s="32"/>
      <c r="F430" s="43"/>
      <c r="G430" s="43"/>
      <c r="H430" s="25"/>
      <c r="I430" s="40"/>
      <c r="J430" s="40"/>
    </row>
    <row r="431" spans="1:10" x14ac:dyDescent="0.3">
      <c r="A431" s="24"/>
      <c r="E431" s="32"/>
      <c r="F431" s="43"/>
      <c r="G431" s="43"/>
      <c r="H431" s="25"/>
      <c r="I431" s="40"/>
      <c r="J431" s="40"/>
    </row>
    <row r="432" spans="1:10" x14ac:dyDescent="0.3">
      <c r="A432" s="24"/>
      <c r="E432" s="32"/>
      <c r="F432" s="43"/>
      <c r="G432" s="43"/>
      <c r="H432" s="25"/>
      <c r="I432" s="40"/>
      <c r="J432" s="40"/>
    </row>
    <row r="433" spans="1:10" x14ac:dyDescent="0.3">
      <c r="A433" s="24"/>
      <c r="E433" s="32"/>
      <c r="F433" s="43"/>
      <c r="G433" s="43"/>
      <c r="H433" s="25"/>
      <c r="I433" s="40"/>
      <c r="J433" s="40"/>
    </row>
    <row r="434" spans="1:10" x14ac:dyDescent="0.3">
      <c r="A434" s="24"/>
      <c r="E434" s="32"/>
      <c r="F434" s="43"/>
      <c r="G434" s="43"/>
      <c r="H434" s="25"/>
      <c r="I434" s="40"/>
      <c r="J434" s="40"/>
    </row>
    <row r="435" spans="1:10" x14ac:dyDescent="0.3">
      <c r="A435" s="24"/>
      <c r="E435" s="32"/>
      <c r="F435" s="43"/>
      <c r="G435" s="43"/>
      <c r="H435" s="25"/>
      <c r="I435" s="40"/>
      <c r="J435" s="40"/>
    </row>
    <row r="436" spans="1:10" x14ac:dyDescent="0.3">
      <c r="A436" s="24"/>
      <c r="E436" s="32"/>
      <c r="F436" s="43"/>
      <c r="G436" s="43"/>
      <c r="H436" s="25"/>
      <c r="I436" s="40"/>
      <c r="J436" s="40"/>
    </row>
    <row r="437" spans="1:10" x14ac:dyDescent="0.3">
      <c r="A437" s="24"/>
      <c r="E437" s="85"/>
      <c r="F437" s="98"/>
      <c r="G437" s="43"/>
      <c r="H437" s="35"/>
      <c r="I437" s="38"/>
      <c r="J437" s="38"/>
    </row>
    <row r="438" spans="1:10" x14ac:dyDescent="0.3">
      <c r="A438" s="24"/>
      <c r="E438" s="85"/>
      <c r="F438" s="98"/>
      <c r="G438" s="43"/>
      <c r="H438" s="25"/>
    </row>
    <row r="439" spans="1:10" x14ac:dyDescent="0.3">
      <c r="A439" s="24"/>
      <c r="E439" s="30"/>
      <c r="F439" s="98"/>
      <c r="G439" s="43"/>
      <c r="H439" s="25"/>
      <c r="I439" s="36"/>
      <c r="J439" s="36"/>
    </row>
    <row r="440" spans="1:10" x14ac:dyDescent="0.3">
      <c r="A440" s="24"/>
      <c r="E440" s="30"/>
      <c r="F440" s="98"/>
      <c r="G440" s="43"/>
      <c r="H440" s="25"/>
      <c r="I440" s="36"/>
      <c r="J440" s="36"/>
    </row>
    <row r="441" spans="1:10" x14ac:dyDescent="0.3">
      <c r="A441" s="24"/>
      <c r="E441" s="30"/>
      <c r="F441" s="46"/>
      <c r="G441" s="43"/>
      <c r="H441" s="25"/>
      <c r="I441" s="36"/>
      <c r="J441" s="36"/>
    </row>
    <row r="442" spans="1:10" x14ac:dyDescent="0.3">
      <c r="A442" s="24"/>
      <c r="E442" s="85"/>
      <c r="F442" s="98"/>
      <c r="G442" s="43"/>
      <c r="H442" s="25"/>
      <c r="I442" s="40"/>
      <c r="J442" s="40"/>
    </row>
    <row r="443" spans="1:10" x14ac:dyDescent="0.3">
      <c r="A443" s="24"/>
      <c r="E443" s="85"/>
      <c r="F443" s="98"/>
      <c r="G443" s="43"/>
      <c r="H443" s="25"/>
      <c r="I443" s="40"/>
      <c r="J443" s="40"/>
    </row>
    <row r="444" spans="1:10" x14ac:dyDescent="0.3">
      <c r="A444" s="24"/>
      <c r="E444" s="47"/>
      <c r="F444" s="43"/>
      <c r="G444" s="43"/>
      <c r="H444" s="25"/>
      <c r="I444" s="48"/>
      <c r="J444" s="40"/>
    </row>
    <row r="445" spans="1:10" x14ac:dyDescent="0.3">
      <c r="A445" s="24"/>
      <c r="E445" s="32"/>
      <c r="F445" s="43"/>
      <c r="G445" s="43"/>
      <c r="H445" s="25"/>
      <c r="I445" s="40"/>
      <c r="J445" s="40"/>
    </row>
    <row r="446" spans="1:10" x14ac:dyDescent="0.3">
      <c r="A446" s="24"/>
      <c r="E446" s="32"/>
      <c r="F446" s="43"/>
      <c r="G446" s="43"/>
      <c r="H446" s="25"/>
      <c r="I446" s="40"/>
      <c r="J446" s="40"/>
    </row>
    <row r="447" spans="1:10" x14ac:dyDescent="0.3">
      <c r="A447" s="24"/>
      <c r="E447" s="32"/>
      <c r="F447" s="43"/>
      <c r="G447" s="43"/>
      <c r="H447" s="25"/>
      <c r="I447" s="40"/>
      <c r="J447" s="40"/>
    </row>
    <row r="448" spans="1:10" x14ac:dyDescent="0.3">
      <c r="A448" s="24"/>
      <c r="E448" s="32"/>
      <c r="F448" s="43"/>
      <c r="G448" s="43"/>
      <c r="H448" s="25"/>
      <c r="I448" s="40"/>
      <c r="J448" s="40"/>
    </row>
    <row r="449" spans="1:11" x14ac:dyDescent="0.3">
      <c r="A449" s="24"/>
      <c r="E449" s="32"/>
      <c r="F449" s="43"/>
      <c r="G449" s="43"/>
      <c r="H449" s="25"/>
      <c r="I449" s="40"/>
      <c r="J449" s="40"/>
    </row>
    <row r="450" spans="1:11" x14ac:dyDescent="0.3">
      <c r="A450" s="24"/>
      <c r="E450" s="30"/>
      <c r="F450" s="46"/>
      <c r="G450" s="43"/>
      <c r="H450" s="25"/>
      <c r="I450" s="36"/>
      <c r="J450" s="36"/>
    </row>
    <row r="451" spans="1:11" x14ac:dyDescent="0.3">
      <c r="A451" s="24"/>
      <c r="E451" s="85"/>
      <c r="F451" s="98"/>
      <c r="G451" s="43"/>
      <c r="H451" s="25"/>
      <c r="I451" s="40"/>
      <c r="J451" s="40"/>
    </row>
    <row r="452" spans="1:11" x14ac:dyDescent="0.3">
      <c r="A452" s="24"/>
      <c r="E452" s="85"/>
      <c r="F452" s="98"/>
      <c r="G452" s="43"/>
      <c r="H452" s="25"/>
      <c r="I452" s="40"/>
      <c r="J452" s="40"/>
    </row>
    <row r="453" spans="1:11" x14ac:dyDescent="0.3">
      <c r="A453" s="24"/>
      <c r="E453" s="32"/>
      <c r="F453" s="43"/>
      <c r="G453" s="43"/>
      <c r="H453" s="25"/>
      <c r="I453" s="40"/>
      <c r="J453" s="40"/>
    </row>
    <row r="454" spans="1:11" x14ac:dyDescent="0.3">
      <c r="A454" s="24"/>
      <c r="E454" s="32"/>
      <c r="F454" s="43"/>
      <c r="G454" s="43"/>
      <c r="H454" s="25"/>
      <c r="I454" s="40"/>
      <c r="J454" s="40"/>
    </row>
    <row r="455" spans="1:11" x14ac:dyDescent="0.3">
      <c r="A455" s="24"/>
      <c r="E455" s="32"/>
      <c r="F455" s="43"/>
      <c r="G455" s="43"/>
      <c r="H455" s="25"/>
      <c r="I455" s="40"/>
      <c r="J455" s="40"/>
    </row>
    <row r="456" spans="1:11" x14ac:dyDescent="0.3">
      <c r="A456" s="24"/>
      <c r="E456" s="32"/>
      <c r="F456" s="43"/>
      <c r="G456" s="43"/>
      <c r="H456" s="25"/>
      <c r="I456" s="40"/>
      <c r="J456" s="40"/>
    </row>
    <row r="457" spans="1:11" x14ac:dyDescent="0.3">
      <c r="A457" s="24"/>
      <c r="E457" s="30"/>
      <c r="F457" s="43"/>
      <c r="G457" s="43"/>
      <c r="H457" s="25"/>
      <c r="I457" s="38"/>
      <c r="J457" s="38"/>
    </row>
    <row r="458" spans="1:11" x14ac:dyDescent="0.3">
      <c r="A458" s="24"/>
      <c r="E458" s="30"/>
      <c r="F458" s="43"/>
      <c r="G458" s="43"/>
      <c r="H458" s="25"/>
      <c r="I458" s="36"/>
      <c r="J458" s="36"/>
    </row>
    <row r="459" spans="1:11" x14ac:dyDescent="0.3">
      <c r="A459" s="24"/>
      <c r="E459" s="85"/>
      <c r="F459" s="98"/>
      <c r="G459" s="43"/>
      <c r="H459" s="25"/>
      <c r="I459" s="40"/>
      <c r="J459" s="40"/>
    </row>
    <row r="460" spans="1:11" x14ac:dyDescent="0.3">
      <c r="A460" s="24"/>
      <c r="E460" s="85"/>
      <c r="F460" s="98"/>
      <c r="G460" s="43"/>
      <c r="H460" s="25"/>
      <c r="I460" s="40"/>
      <c r="J460" s="40"/>
    </row>
    <row r="461" spans="1:11" x14ac:dyDescent="0.3">
      <c r="A461" s="24"/>
      <c r="E461" s="32"/>
      <c r="F461" s="43"/>
      <c r="G461" s="43"/>
      <c r="H461" s="25"/>
      <c r="I461" s="40"/>
      <c r="J461" s="40"/>
    </row>
    <row r="462" spans="1:11" x14ac:dyDescent="0.3">
      <c r="A462" s="24"/>
      <c r="E462" s="32"/>
      <c r="F462" s="43"/>
      <c r="G462" s="43"/>
      <c r="H462" s="25"/>
      <c r="I462" s="40"/>
      <c r="J462" s="40"/>
    </row>
    <row r="463" spans="1:11" x14ac:dyDescent="0.3">
      <c r="A463" s="24"/>
      <c r="E463" s="32"/>
      <c r="F463" s="43"/>
      <c r="G463" s="43"/>
      <c r="H463" s="25"/>
      <c r="I463" s="40"/>
      <c r="J463" s="40"/>
    </row>
    <row r="464" spans="1:11" x14ac:dyDescent="0.3">
      <c r="A464" s="24"/>
      <c r="E464" s="32"/>
      <c r="F464" s="43"/>
      <c r="G464" s="43"/>
      <c r="H464" s="25"/>
      <c r="I464" s="40"/>
      <c r="J464" s="40"/>
      <c r="K464" s="40"/>
    </row>
    <row r="465" spans="1:10" x14ac:dyDescent="0.3">
      <c r="A465" s="24"/>
      <c r="B465" s="45"/>
      <c r="C465" s="45"/>
      <c r="E465" s="30"/>
      <c r="F465" s="43"/>
      <c r="G465" s="43"/>
      <c r="H465" s="25"/>
      <c r="I465" s="36"/>
      <c r="J465" s="36"/>
    </row>
    <row r="466" spans="1:10" x14ac:dyDescent="0.3">
      <c r="A466" s="24"/>
      <c r="B466" s="45"/>
      <c r="C466" s="45"/>
      <c r="E466" s="85"/>
      <c r="F466" s="98"/>
      <c r="G466" s="43"/>
      <c r="H466" s="25"/>
      <c r="I466" s="40"/>
      <c r="J466" s="40"/>
    </row>
    <row r="467" spans="1:10" x14ac:dyDescent="0.3">
      <c r="A467" s="24"/>
      <c r="B467" s="45"/>
      <c r="C467" s="45"/>
      <c r="E467" s="85"/>
      <c r="F467" s="98"/>
      <c r="G467" s="43"/>
      <c r="H467" s="25"/>
      <c r="I467" s="40"/>
      <c r="J467" s="40"/>
    </row>
    <row r="468" spans="1:10" x14ac:dyDescent="0.3">
      <c r="A468" s="24"/>
      <c r="B468" s="45"/>
      <c r="C468" s="45"/>
      <c r="E468" s="32"/>
      <c r="F468" s="43"/>
      <c r="G468" s="43"/>
      <c r="H468" s="25"/>
      <c r="I468" s="40"/>
      <c r="J468" s="40"/>
    </row>
    <row r="469" spans="1:10" x14ac:dyDescent="0.3">
      <c r="A469" s="24"/>
      <c r="B469" s="45"/>
      <c r="C469" s="45"/>
      <c r="E469" s="32"/>
      <c r="F469" s="43"/>
      <c r="G469" s="43"/>
      <c r="H469" s="25"/>
      <c r="I469" s="40"/>
      <c r="J469" s="40"/>
    </row>
    <row r="470" spans="1:10" x14ac:dyDescent="0.3">
      <c r="A470" s="24"/>
      <c r="B470" s="45"/>
      <c r="C470" s="45"/>
      <c r="E470" s="32"/>
      <c r="F470" s="43"/>
      <c r="G470" s="43"/>
      <c r="H470" s="25"/>
      <c r="I470" s="40"/>
      <c r="J470" s="40"/>
    </row>
    <row r="471" spans="1:10" x14ac:dyDescent="0.3">
      <c r="A471" s="24"/>
      <c r="B471" s="45"/>
      <c r="C471" s="45"/>
      <c r="E471" s="32"/>
      <c r="F471" s="43"/>
      <c r="G471" s="43"/>
      <c r="H471" s="25"/>
      <c r="I471" s="40"/>
      <c r="J471" s="40"/>
    </row>
    <row r="472" spans="1:10" x14ac:dyDescent="0.3">
      <c r="A472" s="24"/>
      <c r="B472" s="45"/>
      <c r="C472" s="45"/>
      <c r="E472" s="32"/>
      <c r="F472" s="43"/>
      <c r="G472" s="43"/>
      <c r="H472" s="25"/>
      <c r="I472" s="40"/>
      <c r="J472" s="40"/>
    </row>
    <row r="473" spans="1:10" x14ac:dyDescent="0.3">
      <c r="A473" s="24"/>
      <c r="B473" s="45"/>
      <c r="C473" s="45"/>
      <c r="E473" s="32"/>
      <c r="F473" s="43"/>
      <c r="G473" s="43"/>
      <c r="H473" s="25"/>
      <c r="I473" s="40"/>
      <c r="J473" s="40"/>
    </row>
    <row r="474" spans="1:10" x14ac:dyDescent="0.3">
      <c r="A474" s="24"/>
      <c r="B474" s="45"/>
      <c r="C474" s="45"/>
      <c r="E474" s="32"/>
      <c r="F474" s="43"/>
      <c r="G474" s="43"/>
      <c r="H474" s="25"/>
      <c r="I474" s="40"/>
      <c r="J474" s="40"/>
    </row>
    <row r="475" spans="1:10" x14ac:dyDescent="0.3">
      <c r="A475" s="24"/>
      <c r="B475" s="45"/>
      <c r="C475" s="45"/>
      <c r="E475" s="32"/>
      <c r="F475" s="43"/>
      <c r="G475" s="43"/>
      <c r="H475" s="25"/>
      <c r="I475" s="40"/>
      <c r="J475" s="40"/>
    </row>
    <row r="476" spans="1:10" x14ac:dyDescent="0.3">
      <c r="A476" s="24"/>
      <c r="B476" s="45"/>
      <c r="C476" s="45"/>
      <c r="E476" s="32"/>
      <c r="F476" s="43"/>
      <c r="G476" s="43"/>
      <c r="H476" s="25"/>
      <c r="I476" s="40"/>
      <c r="J476" s="40"/>
    </row>
    <row r="477" spans="1:10" x14ac:dyDescent="0.3">
      <c r="A477" s="24"/>
      <c r="E477" s="85"/>
      <c r="F477" s="98"/>
      <c r="G477" s="43"/>
      <c r="H477" s="35"/>
      <c r="I477" s="38"/>
      <c r="J477" s="38"/>
    </row>
    <row r="478" spans="1:10" x14ac:dyDescent="0.3">
      <c r="A478" s="24"/>
      <c r="E478" s="85"/>
      <c r="F478" s="98"/>
      <c r="G478" s="43"/>
      <c r="H478" s="25"/>
    </row>
    <row r="479" spans="1:10" x14ac:dyDescent="0.3">
      <c r="A479" s="24"/>
      <c r="E479" s="30"/>
      <c r="F479" s="98"/>
      <c r="G479" s="43"/>
      <c r="H479" s="25"/>
      <c r="I479" s="36"/>
      <c r="J479" s="36"/>
    </row>
    <row r="480" spans="1:10" x14ac:dyDescent="0.3">
      <c r="A480" s="24"/>
      <c r="E480" s="30"/>
      <c r="F480" s="98"/>
      <c r="G480" s="43"/>
      <c r="H480" s="25"/>
      <c r="I480" s="36"/>
      <c r="J480" s="36"/>
    </row>
    <row r="481" spans="1:10" x14ac:dyDescent="0.3">
      <c r="A481" s="24"/>
      <c r="E481" s="30"/>
      <c r="F481" s="46"/>
      <c r="G481" s="43"/>
      <c r="H481" s="25"/>
      <c r="I481" s="36"/>
      <c r="J481" s="36"/>
    </row>
    <row r="482" spans="1:10" x14ac:dyDescent="0.3">
      <c r="A482" s="24"/>
      <c r="E482" s="85"/>
      <c r="F482" s="98"/>
      <c r="G482" s="43"/>
      <c r="H482" s="25"/>
      <c r="I482" s="40"/>
      <c r="J482" s="40"/>
    </row>
    <row r="483" spans="1:10" x14ac:dyDescent="0.3">
      <c r="A483" s="24"/>
      <c r="E483" s="85"/>
      <c r="F483" s="98"/>
      <c r="G483" s="43"/>
      <c r="H483" s="25"/>
      <c r="I483" s="40"/>
      <c r="J483" s="40"/>
    </row>
    <row r="484" spans="1:10" x14ac:dyDescent="0.3">
      <c r="A484" s="24"/>
      <c r="E484" s="32"/>
      <c r="F484" s="43"/>
      <c r="G484" s="43"/>
      <c r="H484" s="25"/>
      <c r="I484" s="40"/>
      <c r="J484" s="40"/>
    </row>
    <row r="485" spans="1:10" x14ac:dyDescent="0.3">
      <c r="A485" s="24"/>
      <c r="E485" s="32"/>
      <c r="F485" s="43"/>
      <c r="G485" s="43"/>
      <c r="H485" s="25"/>
      <c r="I485" s="40"/>
      <c r="J485" s="40"/>
    </row>
    <row r="486" spans="1:10" x14ac:dyDescent="0.3">
      <c r="A486" s="24"/>
      <c r="E486" s="32"/>
      <c r="F486" s="43"/>
      <c r="G486" s="43"/>
      <c r="H486" s="25"/>
      <c r="I486" s="40"/>
      <c r="J486" s="40"/>
    </row>
    <row r="487" spans="1:10" x14ac:dyDescent="0.3">
      <c r="A487" s="24"/>
      <c r="E487" s="32"/>
      <c r="F487" s="43"/>
      <c r="G487" s="43"/>
      <c r="H487" s="25"/>
      <c r="I487" s="40"/>
      <c r="J487" s="40"/>
    </row>
    <row r="488" spans="1:10" x14ac:dyDescent="0.3">
      <c r="A488" s="24"/>
      <c r="E488" s="32"/>
      <c r="F488" s="43"/>
      <c r="G488" s="43"/>
      <c r="H488" s="25"/>
      <c r="I488" s="40"/>
      <c r="J488" s="40"/>
    </row>
    <row r="489" spans="1:10" x14ac:dyDescent="0.3">
      <c r="A489" s="24"/>
      <c r="E489" s="32"/>
      <c r="F489" s="43"/>
      <c r="G489" s="43"/>
      <c r="H489" s="25"/>
    </row>
    <row r="490" spans="1:10" x14ac:dyDescent="0.3">
      <c r="A490" s="24"/>
      <c r="E490" s="30"/>
      <c r="F490" s="43"/>
      <c r="G490" s="43"/>
      <c r="H490" s="25"/>
      <c r="I490" s="38"/>
      <c r="J490" s="38"/>
    </row>
    <row r="491" spans="1:10" x14ac:dyDescent="0.3">
      <c r="A491" s="24"/>
      <c r="E491" s="30"/>
      <c r="F491" s="43"/>
      <c r="G491" s="43"/>
      <c r="H491" s="25"/>
      <c r="I491" s="36"/>
      <c r="J491" s="36"/>
    </row>
    <row r="492" spans="1:10" x14ac:dyDescent="0.3">
      <c r="A492" s="24"/>
      <c r="E492" s="85"/>
      <c r="F492" s="98"/>
      <c r="G492" s="43"/>
      <c r="H492" s="25"/>
      <c r="I492" s="36"/>
      <c r="J492" s="36"/>
    </row>
    <row r="493" spans="1:10" x14ac:dyDescent="0.3">
      <c r="A493" s="24"/>
      <c r="E493" s="85"/>
      <c r="F493" s="98"/>
      <c r="G493" s="43"/>
      <c r="H493" s="25"/>
      <c r="I493" s="36"/>
      <c r="J493" s="36"/>
    </row>
    <row r="494" spans="1:10" x14ac:dyDescent="0.3">
      <c r="A494" s="24"/>
      <c r="E494" s="85"/>
      <c r="F494" s="98"/>
      <c r="G494" s="43"/>
      <c r="H494" s="25"/>
      <c r="I494" s="40"/>
      <c r="J494" s="40"/>
    </row>
    <row r="495" spans="1:10" x14ac:dyDescent="0.3">
      <c r="A495" s="24"/>
      <c r="E495" s="85"/>
      <c r="F495" s="98"/>
      <c r="G495" s="43"/>
      <c r="H495" s="25"/>
      <c r="I495" s="40"/>
      <c r="J495" s="40"/>
    </row>
    <row r="496" spans="1:10" x14ac:dyDescent="0.3">
      <c r="A496" s="24"/>
      <c r="E496" s="32"/>
      <c r="F496" s="43"/>
      <c r="G496" s="43"/>
      <c r="H496" s="25"/>
      <c r="I496" s="40"/>
      <c r="J496" s="40"/>
    </row>
    <row r="497" spans="1:10" x14ac:dyDescent="0.3">
      <c r="A497" s="24"/>
      <c r="E497" s="32"/>
      <c r="F497" s="43"/>
      <c r="G497" s="43"/>
      <c r="H497" s="25"/>
      <c r="I497" s="40"/>
      <c r="J497" s="40"/>
    </row>
    <row r="498" spans="1:10" x14ac:dyDescent="0.3">
      <c r="A498" s="24"/>
      <c r="E498" s="32"/>
      <c r="F498" s="43"/>
      <c r="G498" s="43"/>
      <c r="H498" s="25"/>
      <c r="I498" s="40"/>
      <c r="J498" s="40"/>
    </row>
    <row r="499" spans="1:10" x14ac:dyDescent="0.3">
      <c r="A499" s="24"/>
      <c r="E499" s="32"/>
      <c r="F499" s="43"/>
      <c r="G499" s="43"/>
      <c r="H499" s="25"/>
      <c r="I499" s="40"/>
      <c r="J499" s="40"/>
    </row>
    <row r="500" spans="1:10" x14ac:dyDescent="0.3">
      <c r="A500" s="24"/>
      <c r="E500" s="32"/>
      <c r="F500" s="43"/>
      <c r="G500" s="43"/>
      <c r="H500" s="25"/>
      <c r="I500" s="40"/>
      <c r="J500" s="40"/>
    </row>
    <row r="501" spans="1:10" x14ac:dyDescent="0.3">
      <c r="A501" s="24"/>
      <c r="E501" s="32"/>
      <c r="F501" s="43"/>
      <c r="G501" s="43"/>
      <c r="H501" s="25"/>
      <c r="I501" s="40"/>
      <c r="J501" s="40"/>
    </row>
    <row r="502" spans="1:10" x14ac:dyDescent="0.3">
      <c r="A502" s="24"/>
      <c r="E502" s="32"/>
      <c r="F502" s="43"/>
      <c r="G502" s="43"/>
      <c r="H502" s="25"/>
      <c r="I502" s="40"/>
      <c r="J502" s="40"/>
    </row>
    <row r="503" spans="1:10" x14ac:dyDescent="0.3">
      <c r="A503" s="24"/>
      <c r="E503" s="32"/>
      <c r="F503" s="43"/>
      <c r="G503" s="43"/>
      <c r="H503" s="25"/>
      <c r="I503" s="40"/>
      <c r="J503" s="40"/>
    </row>
    <row r="504" spans="1:10" x14ac:dyDescent="0.3">
      <c r="A504" s="24"/>
      <c r="B504" s="33"/>
      <c r="C504" s="33"/>
      <c r="E504" s="99"/>
      <c r="F504" s="100"/>
      <c r="G504" s="43"/>
      <c r="H504" s="35"/>
      <c r="I504" s="38"/>
      <c r="J504" s="38"/>
    </row>
    <row r="505" spans="1:10" x14ac:dyDescent="0.3">
      <c r="A505" s="24"/>
      <c r="B505" s="33"/>
      <c r="C505" s="33"/>
      <c r="E505" s="99"/>
      <c r="F505" s="100"/>
      <c r="G505" s="43"/>
      <c r="H505" s="35"/>
      <c r="I505" s="38"/>
      <c r="J505" s="38"/>
    </row>
    <row r="506" spans="1:10" x14ac:dyDescent="0.3">
      <c r="A506" s="24"/>
      <c r="B506" s="33"/>
      <c r="C506" s="33"/>
      <c r="E506" s="99"/>
      <c r="F506" s="100"/>
      <c r="G506" s="43"/>
      <c r="H506" s="25"/>
    </row>
    <row r="507" spans="1:10" x14ac:dyDescent="0.3">
      <c r="A507" s="24"/>
      <c r="B507" s="33"/>
      <c r="C507" s="33"/>
      <c r="E507" s="99"/>
      <c r="F507" s="100"/>
      <c r="G507" s="43"/>
      <c r="H507" s="25"/>
    </row>
    <row r="508" spans="1:10" x14ac:dyDescent="0.3">
      <c r="A508" s="24"/>
      <c r="B508" s="33"/>
      <c r="C508" s="33"/>
      <c r="E508" s="99"/>
      <c r="F508" s="100"/>
      <c r="G508" s="43"/>
      <c r="H508" s="25"/>
      <c r="I508" s="38"/>
      <c r="J508" s="38"/>
    </row>
    <row r="509" spans="1:10" x14ac:dyDescent="0.3">
      <c r="A509" s="24"/>
      <c r="B509" s="33"/>
      <c r="C509" s="33"/>
      <c r="E509" s="99"/>
      <c r="F509" s="100"/>
      <c r="G509" s="43"/>
      <c r="H509" s="25"/>
      <c r="I509" s="36"/>
      <c r="J509" s="36"/>
    </row>
    <row r="510" spans="1:10" x14ac:dyDescent="0.3">
      <c r="A510" s="24"/>
      <c r="B510" s="33"/>
      <c r="C510" s="33"/>
      <c r="E510" s="85"/>
      <c r="F510" s="98"/>
      <c r="G510" s="43"/>
      <c r="H510" s="25"/>
    </row>
    <row r="511" spans="1:10" x14ac:dyDescent="0.3">
      <c r="A511" s="24"/>
      <c r="B511" s="33"/>
      <c r="C511" s="33"/>
      <c r="E511" s="85"/>
      <c r="F511" s="98"/>
      <c r="G511" s="43"/>
      <c r="H511" s="25"/>
    </row>
    <row r="512" spans="1:10" x14ac:dyDescent="0.3">
      <c r="A512" s="24"/>
      <c r="B512" s="33"/>
      <c r="C512" s="33"/>
      <c r="E512" s="99"/>
      <c r="F512" s="100"/>
      <c r="G512" s="43"/>
      <c r="H512" s="25"/>
      <c r="I512" s="36"/>
      <c r="J512" s="36"/>
    </row>
    <row r="513" spans="1:10" x14ac:dyDescent="0.3">
      <c r="A513" s="24"/>
      <c r="B513" s="33"/>
      <c r="C513" s="33"/>
      <c r="E513" s="99"/>
      <c r="F513" s="100"/>
      <c r="G513" s="43"/>
      <c r="H513" s="35"/>
      <c r="I513" s="36"/>
      <c r="J513" s="36"/>
    </row>
    <row r="514" spans="1:10" x14ac:dyDescent="0.3">
      <c r="A514" s="24"/>
      <c r="B514" s="33"/>
      <c r="C514" s="33"/>
      <c r="E514" s="99"/>
      <c r="F514" s="100"/>
      <c r="G514" s="43"/>
      <c r="H514" s="25"/>
      <c r="I514" s="38"/>
      <c r="J514" s="38"/>
    </row>
    <row r="515" spans="1:10" x14ac:dyDescent="0.3">
      <c r="A515" s="24"/>
      <c r="B515" s="33"/>
      <c r="C515" s="33"/>
      <c r="E515" s="85"/>
      <c r="F515" s="98"/>
      <c r="G515" s="43"/>
      <c r="H515" s="25"/>
      <c r="I515" s="38"/>
      <c r="J515" s="38"/>
    </row>
    <row r="516" spans="1:10" x14ac:dyDescent="0.3">
      <c r="A516" s="24"/>
      <c r="B516" s="33"/>
      <c r="C516" s="33"/>
      <c r="E516" s="85"/>
      <c r="F516" s="98"/>
      <c r="G516" s="43"/>
      <c r="H516" s="25"/>
      <c r="I516" s="38"/>
      <c r="J516" s="38"/>
    </row>
    <row r="517" spans="1:10" x14ac:dyDescent="0.3">
      <c r="A517" s="24"/>
      <c r="B517" s="33"/>
      <c r="C517" s="33"/>
      <c r="E517" s="85"/>
      <c r="F517" s="98"/>
      <c r="G517" s="43"/>
      <c r="H517" s="25"/>
      <c r="I517" s="38"/>
      <c r="J517" s="38"/>
    </row>
    <row r="518" spans="1:10" x14ac:dyDescent="0.3">
      <c r="A518" s="24"/>
      <c r="B518" s="33"/>
      <c r="C518" s="33"/>
      <c r="E518" s="99"/>
      <c r="F518" s="100"/>
      <c r="G518" s="43"/>
      <c r="H518" s="25"/>
      <c r="I518" s="36"/>
      <c r="J518" s="36"/>
    </row>
    <row r="519" spans="1:10" x14ac:dyDescent="0.3">
      <c r="A519" s="24"/>
      <c r="B519" s="33"/>
      <c r="C519" s="33"/>
      <c r="E519" s="99"/>
      <c r="F519" s="100"/>
      <c r="G519" s="43"/>
      <c r="H519" s="25"/>
      <c r="I519" s="36"/>
      <c r="J519" s="36"/>
    </row>
    <row r="520" spans="1:10" x14ac:dyDescent="0.3">
      <c r="A520" s="24"/>
      <c r="B520" s="33"/>
      <c r="C520" s="33"/>
      <c r="E520" s="99"/>
      <c r="F520" s="100"/>
      <c r="G520" s="43"/>
      <c r="H520" s="25"/>
      <c r="I520" s="36"/>
      <c r="J520" s="36"/>
    </row>
    <row r="521" spans="1:10" x14ac:dyDescent="0.3">
      <c r="A521" s="24"/>
      <c r="B521" s="33"/>
      <c r="C521" s="33"/>
      <c r="E521" s="99"/>
      <c r="F521" s="100"/>
      <c r="G521" s="43"/>
      <c r="H521" s="25"/>
      <c r="I521" s="36"/>
      <c r="J521" s="36"/>
    </row>
    <row r="522" spans="1:10" x14ac:dyDescent="0.3">
      <c r="A522" s="24"/>
      <c r="B522" s="33"/>
      <c r="C522" s="33"/>
      <c r="E522" s="99"/>
      <c r="F522" s="100"/>
      <c r="G522" s="43"/>
      <c r="H522" s="25"/>
      <c r="I522" s="36"/>
      <c r="J522" s="36"/>
    </row>
    <row r="523" spans="1:10" x14ac:dyDescent="0.3">
      <c r="A523" s="24"/>
      <c r="B523" s="33"/>
      <c r="C523" s="33"/>
      <c r="E523" s="99"/>
      <c r="F523" s="100"/>
      <c r="G523" s="43"/>
      <c r="H523" s="49"/>
      <c r="I523" s="38"/>
      <c r="J523" s="38"/>
    </row>
    <row r="524" spans="1:10" x14ac:dyDescent="0.3">
      <c r="A524" s="24"/>
      <c r="B524" s="33"/>
      <c r="C524" s="33"/>
      <c r="E524" s="85"/>
      <c r="F524" s="98"/>
      <c r="G524" s="43"/>
      <c r="H524" s="25"/>
      <c r="I524" s="38"/>
      <c r="J524" s="38"/>
    </row>
    <row r="525" spans="1:10" x14ac:dyDescent="0.3">
      <c r="A525" s="24"/>
      <c r="B525" s="33"/>
      <c r="C525" s="33"/>
      <c r="E525" s="85"/>
      <c r="F525" s="98"/>
      <c r="G525" s="43"/>
      <c r="H525" s="25"/>
      <c r="I525" s="38"/>
      <c r="J525" s="38"/>
    </row>
    <row r="526" spans="1:10" x14ac:dyDescent="0.3">
      <c r="A526" s="24"/>
      <c r="B526" s="33"/>
      <c r="C526" s="33"/>
      <c r="E526" s="85"/>
      <c r="F526" s="98"/>
      <c r="G526" s="43"/>
      <c r="H526" s="25"/>
      <c r="I526" s="38"/>
      <c r="J526" s="38"/>
    </row>
    <row r="527" spans="1:10" x14ac:dyDescent="0.3">
      <c r="A527" s="24"/>
      <c r="B527" s="33"/>
      <c r="C527" s="33"/>
      <c r="E527" s="85"/>
      <c r="F527" s="98"/>
      <c r="G527" s="43"/>
      <c r="H527" s="25"/>
      <c r="I527" s="38"/>
      <c r="J527" s="38"/>
    </row>
    <row r="528" spans="1:10" x14ac:dyDescent="0.3">
      <c r="A528" s="24"/>
      <c r="B528" s="33"/>
      <c r="C528" s="33"/>
      <c r="E528" s="85"/>
      <c r="F528" s="98"/>
      <c r="G528" s="43"/>
      <c r="H528" s="25"/>
      <c r="I528" s="38"/>
      <c r="J528" s="38"/>
    </row>
    <row r="529" spans="1:10" x14ac:dyDescent="0.3">
      <c r="A529" s="24"/>
      <c r="B529" s="33"/>
      <c r="C529" s="33"/>
      <c r="E529" s="32"/>
      <c r="F529" s="46"/>
      <c r="G529" s="43"/>
      <c r="H529" s="25"/>
      <c r="I529" s="40"/>
      <c r="J529" s="40"/>
    </row>
    <row r="530" spans="1:10" x14ac:dyDescent="0.3">
      <c r="A530" s="24"/>
      <c r="B530" s="33"/>
      <c r="C530" s="33"/>
      <c r="E530" s="85"/>
      <c r="F530" s="98"/>
      <c r="G530" s="43"/>
      <c r="H530" s="25"/>
      <c r="I530" s="36"/>
      <c r="J530" s="36"/>
    </row>
    <row r="531" spans="1:10" x14ac:dyDescent="0.3">
      <c r="A531" s="24"/>
      <c r="B531" s="33"/>
      <c r="C531" s="33"/>
      <c r="E531" s="85"/>
      <c r="F531" s="98"/>
      <c r="G531" s="43"/>
      <c r="H531" s="25"/>
      <c r="I531" s="36"/>
      <c r="J531" s="36"/>
    </row>
    <row r="532" spans="1:10" x14ac:dyDescent="0.3">
      <c r="A532" s="24"/>
      <c r="B532" s="33"/>
      <c r="C532" s="33"/>
      <c r="E532" s="85"/>
      <c r="F532" s="98"/>
      <c r="G532" s="43"/>
      <c r="H532" s="25"/>
      <c r="I532" s="36"/>
      <c r="J532" s="36"/>
    </row>
    <row r="533" spans="1:10" x14ac:dyDescent="0.3">
      <c r="A533" s="24"/>
      <c r="B533" s="33"/>
      <c r="C533" s="33"/>
      <c r="E533" s="85"/>
      <c r="F533" s="98"/>
      <c r="G533" s="43"/>
      <c r="H533" s="25"/>
      <c r="I533" s="36"/>
      <c r="J533" s="36"/>
    </row>
    <row r="534" spans="1:10" x14ac:dyDescent="0.3">
      <c r="A534" s="24"/>
      <c r="B534" s="33"/>
      <c r="C534" s="33"/>
      <c r="E534" s="85"/>
      <c r="F534" s="98"/>
      <c r="G534" s="43"/>
      <c r="H534" s="25"/>
      <c r="I534" s="38"/>
      <c r="J534" s="38"/>
    </row>
    <row r="535" spans="1:10" x14ac:dyDescent="0.3">
      <c r="A535" s="24"/>
      <c r="B535" s="33"/>
      <c r="C535" s="33"/>
      <c r="E535" s="85"/>
      <c r="F535" s="98"/>
      <c r="G535" s="43"/>
      <c r="H535" s="49"/>
      <c r="I535" s="38"/>
      <c r="J535" s="38"/>
    </row>
    <row r="536" spans="1:10" x14ac:dyDescent="0.3">
      <c r="A536" s="24"/>
      <c r="B536" s="33"/>
      <c r="C536" s="33"/>
      <c r="E536" s="85"/>
      <c r="F536" s="98"/>
      <c r="G536" s="43"/>
      <c r="H536" s="25"/>
      <c r="I536" s="40"/>
      <c r="J536" s="40"/>
    </row>
    <row r="537" spans="1:10" x14ac:dyDescent="0.3">
      <c r="A537" s="24"/>
      <c r="B537" s="33"/>
      <c r="C537" s="33"/>
      <c r="E537" s="85"/>
      <c r="F537" s="98"/>
      <c r="G537" s="43"/>
      <c r="H537" s="25"/>
      <c r="I537" s="40"/>
      <c r="J537" s="40"/>
    </row>
    <row r="538" spans="1:10" x14ac:dyDescent="0.3">
      <c r="A538" s="24"/>
      <c r="B538" s="33"/>
      <c r="C538" s="33"/>
      <c r="E538" s="85"/>
      <c r="F538" s="98"/>
      <c r="G538" s="43"/>
      <c r="H538" s="25"/>
      <c r="I538" s="40"/>
      <c r="J538" s="40"/>
    </row>
    <row r="539" spans="1:10" x14ac:dyDescent="0.3">
      <c r="A539" s="24"/>
      <c r="B539" s="24"/>
      <c r="D539" s="50"/>
      <c r="E539" s="51"/>
      <c r="F539" s="39"/>
      <c r="G539" s="52"/>
      <c r="H539" s="39"/>
      <c r="I539" s="53"/>
    </row>
    <row r="540" spans="1:10" x14ac:dyDescent="0.3">
      <c r="A540" s="24"/>
      <c r="B540" s="24"/>
      <c r="D540" s="50"/>
      <c r="E540" s="54"/>
      <c r="F540" s="97"/>
      <c r="G540" s="31"/>
      <c r="H540" s="39"/>
      <c r="I540" s="55"/>
    </row>
    <row r="541" spans="1:10" x14ac:dyDescent="0.3">
      <c r="A541" s="24"/>
      <c r="B541" s="24"/>
      <c r="D541" s="50"/>
      <c r="E541" s="54"/>
      <c r="F541" s="97"/>
      <c r="G541" s="31"/>
      <c r="H541" s="39"/>
      <c r="I541" s="55"/>
    </row>
    <row r="542" spans="1:10" x14ac:dyDescent="0.3">
      <c r="A542" s="24"/>
      <c r="B542" s="24"/>
      <c r="D542" s="50"/>
      <c r="E542" s="56"/>
      <c r="F542" s="97"/>
      <c r="G542" s="57"/>
      <c r="H542" s="39"/>
      <c r="I542" s="58"/>
    </row>
    <row r="543" spans="1:10" x14ac:dyDescent="0.3">
      <c r="A543" s="24"/>
      <c r="B543" s="24"/>
      <c r="D543" s="50"/>
      <c r="E543" s="56"/>
      <c r="F543" s="97"/>
      <c r="G543" s="57"/>
      <c r="H543" s="39"/>
      <c r="I543" s="58"/>
    </row>
    <row r="544" spans="1:10" x14ac:dyDescent="0.3">
      <c r="A544" s="24"/>
      <c r="B544" s="24"/>
      <c r="D544" s="50"/>
      <c r="E544" s="51"/>
      <c r="F544" s="97"/>
      <c r="G544" s="52"/>
      <c r="H544" s="59"/>
      <c r="I544" s="53"/>
    </row>
    <row r="545" spans="1:11" x14ac:dyDescent="0.3">
      <c r="A545" s="24"/>
      <c r="B545" s="24"/>
      <c r="D545" s="50"/>
      <c r="E545" s="54"/>
      <c r="F545" s="34"/>
      <c r="G545" s="52"/>
      <c r="H545" s="39"/>
      <c r="I545" s="55"/>
    </row>
    <row r="546" spans="1:11" x14ac:dyDescent="0.3">
      <c r="A546" s="24"/>
      <c r="B546" s="24"/>
      <c r="D546" s="50"/>
      <c r="E546" s="54"/>
      <c r="F546" s="97"/>
      <c r="G546" s="52"/>
      <c r="H546" s="39"/>
      <c r="I546" s="55"/>
      <c r="J546" s="60"/>
      <c r="K546" s="60"/>
    </row>
    <row r="547" spans="1:11" x14ac:dyDescent="0.3">
      <c r="A547" s="24"/>
      <c r="B547" s="24"/>
      <c r="D547" s="50"/>
      <c r="E547" s="54"/>
      <c r="F547" s="97"/>
      <c r="G547" s="52"/>
      <c r="H547" s="39"/>
      <c r="I547" s="55"/>
      <c r="J547" s="60"/>
      <c r="K547" s="60"/>
    </row>
    <row r="548" spans="1:11" x14ac:dyDescent="0.3">
      <c r="A548" s="24"/>
      <c r="B548" s="24"/>
      <c r="D548" s="50"/>
      <c r="E548" s="54"/>
      <c r="F548" s="97"/>
      <c r="G548" s="31"/>
      <c r="H548" s="39"/>
      <c r="I548" s="55"/>
    </row>
    <row r="549" spans="1:11" x14ac:dyDescent="0.3">
      <c r="A549" s="24"/>
      <c r="B549" s="24"/>
      <c r="D549" s="50"/>
      <c r="E549" s="56"/>
      <c r="F549" s="97"/>
      <c r="G549" s="57"/>
      <c r="H549" s="39"/>
      <c r="I549" s="58"/>
    </row>
    <row r="550" spans="1:11" x14ac:dyDescent="0.3">
      <c r="A550" s="24"/>
      <c r="B550" s="24"/>
      <c r="D550" s="50"/>
      <c r="E550" s="54"/>
      <c r="F550" s="97"/>
      <c r="G550" s="31"/>
      <c r="H550" s="39"/>
      <c r="I550" s="55"/>
    </row>
    <row r="551" spans="1:11" x14ac:dyDescent="0.3">
      <c r="A551" s="24"/>
      <c r="B551" s="24"/>
      <c r="D551" s="50"/>
      <c r="E551" s="54"/>
      <c r="F551" s="97"/>
      <c r="G551" s="31"/>
      <c r="H551" s="39"/>
      <c r="I551" s="55"/>
    </row>
    <row r="552" spans="1:11" x14ac:dyDescent="0.3">
      <c r="A552" s="24"/>
      <c r="B552" s="24"/>
      <c r="D552" s="50"/>
      <c r="E552" s="56"/>
      <c r="F552" s="97"/>
      <c r="G552" s="61"/>
      <c r="H552" s="39"/>
      <c r="I552" s="58"/>
    </row>
    <row r="553" spans="1:11" x14ac:dyDescent="0.3">
      <c r="A553" s="24"/>
      <c r="B553" s="24"/>
      <c r="D553" s="50"/>
      <c r="E553" s="62"/>
      <c r="F553" s="97"/>
      <c r="G553" s="52"/>
      <c r="H553" s="39"/>
      <c r="I553" s="33"/>
    </row>
    <row r="554" spans="1:11" x14ac:dyDescent="0.3">
      <c r="A554" s="24"/>
      <c r="B554" s="24"/>
      <c r="D554" s="50"/>
      <c r="E554" s="62"/>
      <c r="F554" s="39"/>
      <c r="G554" s="31"/>
      <c r="H554" s="39"/>
      <c r="I554" s="33"/>
    </row>
    <row r="555" spans="1:11" x14ac:dyDescent="0.3">
      <c r="A555" s="24"/>
      <c r="B555" s="24"/>
      <c r="D555" s="50"/>
      <c r="E555" s="54"/>
      <c r="F555" s="42"/>
      <c r="G555" s="31"/>
      <c r="H555" s="39"/>
      <c r="I555" s="55"/>
    </row>
    <row r="556" spans="1:11" x14ac:dyDescent="0.3">
      <c r="A556" s="24"/>
      <c r="B556" s="24"/>
      <c r="D556" s="50"/>
      <c r="E556" s="54"/>
      <c r="F556" s="42"/>
      <c r="G556" s="31"/>
      <c r="H556" s="39"/>
      <c r="I556" s="55"/>
    </row>
    <row r="557" spans="1:11" x14ac:dyDescent="0.3">
      <c r="A557" s="24"/>
      <c r="B557" s="24"/>
      <c r="D557" s="50"/>
      <c r="E557" s="54"/>
      <c r="F557" s="39"/>
      <c r="G557" s="52"/>
      <c r="H557" s="39"/>
      <c r="I557" s="55"/>
    </row>
    <row r="558" spans="1:11" x14ac:dyDescent="0.3">
      <c r="A558" s="40"/>
      <c r="B558" s="24"/>
      <c r="D558" s="63"/>
      <c r="E558" s="54"/>
      <c r="F558" s="97"/>
      <c r="G558" s="31"/>
      <c r="H558" s="39"/>
      <c r="I558" s="55"/>
    </row>
    <row r="559" spans="1:11" x14ac:dyDescent="0.3">
      <c r="A559" s="40"/>
      <c r="B559" s="24"/>
      <c r="D559" s="63"/>
      <c r="E559" s="54"/>
      <c r="F559" s="97"/>
      <c r="G559" s="31"/>
      <c r="H559" s="39"/>
      <c r="I559" s="55"/>
    </row>
    <row r="560" spans="1:11" x14ac:dyDescent="0.3">
      <c r="A560" s="40"/>
      <c r="B560" s="24"/>
      <c r="D560" s="63"/>
      <c r="E560" s="56"/>
      <c r="F560" s="97"/>
      <c r="G560" s="57"/>
      <c r="H560" s="39"/>
      <c r="I560" s="58"/>
    </row>
    <row r="561" spans="1:11" x14ac:dyDescent="0.3">
      <c r="A561" s="40"/>
      <c r="B561" s="24"/>
      <c r="D561" s="63"/>
      <c r="E561" s="56"/>
      <c r="F561" s="97"/>
      <c r="G561" s="57"/>
      <c r="H561" s="39"/>
      <c r="I561" s="58"/>
    </row>
    <row r="562" spans="1:11" x14ac:dyDescent="0.3">
      <c r="A562" s="40"/>
      <c r="B562" s="24"/>
      <c r="D562" s="63"/>
      <c r="E562" s="51"/>
      <c r="F562" s="97"/>
      <c r="G562" s="52"/>
      <c r="H562" s="59"/>
      <c r="I562" s="53"/>
    </row>
    <row r="563" spans="1:11" x14ac:dyDescent="0.3">
      <c r="A563" s="40"/>
      <c r="B563" s="24"/>
      <c r="D563" s="63"/>
      <c r="E563" s="54"/>
      <c r="F563" s="34"/>
      <c r="G563" s="34"/>
      <c r="H563" s="39"/>
      <c r="I563" s="55"/>
    </row>
    <row r="564" spans="1:11" x14ac:dyDescent="0.3">
      <c r="A564" s="40"/>
      <c r="B564" s="24"/>
      <c r="D564" s="63"/>
      <c r="E564" s="54"/>
      <c r="F564" s="25"/>
      <c r="G564" s="31"/>
      <c r="H564" s="39"/>
      <c r="I564" s="55"/>
      <c r="J564" s="60"/>
      <c r="K564" s="60"/>
    </row>
    <row r="565" spans="1:11" x14ac:dyDescent="0.3">
      <c r="A565" s="40"/>
      <c r="B565" s="24"/>
      <c r="D565" s="63"/>
      <c r="E565" s="54"/>
      <c r="F565" s="25"/>
      <c r="G565" s="31"/>
      <c r="H565" s="39"/>
      <c r="I565" s="55"/>
    </row>
    <row r="566" spans="1:11" x14ac:dyDescent="0.3">
      <c r="A566" s="40"/>
      <c r="B566" s="24"/>
      <c r="D566" s="63"/>
      <c r="E566" s="56"/>
      <c r="F566" s="25"/>
      <c r="G566" s="31"/>
      <c r="H566" s="39"/>
      <c r="I566" s="58"/>
    </row>
    <row r="567" spans="1:11" x14ac:dyDescent="0.3">
      <c r="A567" s="40"/>
      <c r="B567" s="24"/>
      <c r="D567" s="63"/>
      <c r="E567" s="62"/>
      <c r="F567" s="25"/>
      <c r="G567" s="31"/>
      <c r="H567" s="39"/>
      <c r="I567" s="33"/>
    </row>
    <row r="568" spans="1:11" x14ac:dyDescent="0.3">
      <c r="A568" s="40"/>
      <c r="B568" s="24"/>
      <c r="D568" s="63"/>
      <c r="E568" s="62"/>
      <c r="F568" s="25"/>
      <c r="G568" s="31"/>
      <c r="H568" s="39"/>
      <c r="I568" s="33"/>
    </row>
    <row r="569" spans="1:11" x14ac:dyDescent="0.3">
      <c r="A569" s="40"/>
      <c r="B569" s="24"/>
      <c r="D569" s="63"/>
      <c r="E569" s="54"/>
      <c r="F569" s="97"/>
      <c r="G569" s="31"/>
      <c r="H569" s="39"/>
      <c r="I569" s="55"/>
    </row>
    <row r="570" spans="1:11" x14ac:dyDescent="0.3">
      <c r="A570" s="40"/>
      <c r="B570" s="24"/>
      <c r="D570" s="63"/>
      <c r="E570" s="54"/>
      <c r="F570" s="97"/>
      <c r="G570" s="31"/>
      <c r="H570" s="39"/>
      <c r="I570" s="55"/>
    </row>
    <row r="571" spans="1:11" x14ac:dyDescent="0.3">
      <c r="A571" s="40"/>
      <c r="B571" s="24"/>
      <c r="D571" s="63"/>
      <c r="E571" s="56"/>
      <c r="F571" s="97"/>
      <c r="G571" s="57"/>
      <c r="H571" s="39"/>
      <c r="I571" s="58"/>
    </row>
    <row r="572" spans="1:11" x14ac:dyDescent="0.3">
      <c r="A572" s="40"/>
      <c r="B572" s="24"/>
      <c r="D572" s="63"/>
      <c r="E572" s="56"/>
      <c r="F572" s="97"/>
      <c r="G572" s="57"/>
      <c r="H572" s="39"/>
      <c r="I572" s="58"/>
    </row>
    <row r="573" spans="1:11" x14ac:dyDescent="0.3">
      <c r="A573" s="40"/>
      <c r="B573" s="24"/>
      <c r="D573" s="63"/>
      <c r="E573" s="51"/>
      <c r="F573" s="97"/>
      <c r="G573" s="52"/>
      <c r="H573" s="59"/>
      <c r="I573" s="53"/>
    </row>
    <row r="574" spans="1:11" x14ac:dyDescent="0.3">
      <c r="A574" s="40"/>
      <c r="B574" s="24"/>
      <c r="D574" s="63"/>
      <c r="E574" s="54"/>
      <c r="F574" s="34"/>
      <c r="G574" s="34"/>
      <c r="H574" s="39"/>
      <c r="I574" s="55"/>
    </row>
    <row r="575" spans="1:11" x14ac:dyDescent="0.3">
      <c r="A575" s="40"/>
      <c r="B575" s="24"/>
      <c r="D575" s="63"/>
      <c r="E575" s="54"/>
      <c r="F575" s="25"/>
      <c r="G575" s="31"/>
      <c r="H575" s="39"/>
      <c r="I575" s="55"/>
      <c r="J575" s="60"/>
      <c r="K575" s="60"/>
    </row>
    <row r="576" spans="1:11" x14ac:dyDescent="0.3">
      <c r="A576" s="40"/>
      <c r="B576" s="24"/>
      <c r="D576" s="63"/>
      <c r="E576" s="54"/>
      <c r="F576" s="25"/>
      <c r="G576" s="31"/>
      <c r="H576" s="39"/>
      <c r="I576" s="55"/>
    </row>
    <row r="577" spans="1:11" x14ac:dyDescent="0.3">
      <c r="A577" s="40"/>
      <c r="B577" s="24"/>
      <c r="D577" s="63"/>
      <c r="E577" s="56"/>
      <c r="F577" s="25"/>
      <c r="G577" s="31"/>
      <c r="H577" s="39"/>
      <c r="I577" s="58"/>
    </row>
    <row r="578" spans="1:11" x14ac:dyDescent="0.3">
      <c r="A578" s="40"/>
      <c r="B578" s="24"/>
      <c r="D578" s="63"/>
      <c r="E578" s="54"/>
      <c r="F578" s="64"/>
      <c r="G578" s="64"/>
      <c r="H578" s="39"/>
      <c r="I578" s="55"/>
    </row>
    <row r="579" spans="1:11" x14ac:dyDescent="0.3">
      <c r="A579" s="40"/>
      <c r="B579" s="24"/>
      <c r="D579" s="63"/>
      <c r="E579" s="56"/>
      <c r="F579" s="25"/>
      <c r="G579" s="31"/>
      <c r="H579" s="39"/>
      <c r="I579" s="58"/>
    </row>
    <row r="580" spans="1:11" x14ac:dyDescent="0.3">
      <c r="A580" s="40"/>
      <c r="B580" s="24"/>
      <c r="C580" s="33"/>
      <c r="D580" s="50"/>
      <c r="E580" s="54"/>
      <c r="F580" s="65"/>
      <c r="G580" s="31"/>
      <c r="H580" s="39"/>
      <c r="I580" s="55"/>
    </row>
    <row r="581" spans="1:11" x14ac:dyDescent="0.3">
      <c r="A581" s="40"/>
      <c r="B581" s="24"/>
      <c r="C581" s="33"/>
      <c r="D581" s="50"/>
      <c r="E581" s="54"/>
      <c r="F581" s="65"/>
      <c r="G581" s="31"/>
      <c r="H581" s="39"/>
      <c r="I581" s="55"/>
    </row>
    <row r="582" spans="1:11" x14ac:dyDescent="0.3">
      <c r="A582" s="40"/>
      <c r="B582" s="24"/>
      <c r="C582" s="33"/>
      <c r="D582" s="50"/>
      <c r="E582" s="56"/>
      <c r="F582" s="66"/>
      <c r="G582" s="57"/>
      <c r="H582" s="39"/>
      <c r="I582" s="58"/>
    </row>
    <row r="583" spans="1:11" x14ac:dyDescent="0.3">
      <c r="A583" s="40"/>
      <c r="B583" s="24"/>
      <c r="C583" s="33"/>
      <c r="D583" s="50"/>
      <c r="E583" s="54"/>
      <c r="F583" s="31"/>
      <c r="G583" s="31"/>
      <c r="H583" s="39"/>
      <c r="I583" s="55"/>
      <c r="J583" s="60"/>
      <c r="K583" s="60"/>
    </row>
    <row r="584" spans="1:11" x14ac:dyDescent="0.3">
      <c r="A584" s="40"/>
      <c r="B584" s="24"/>
      <c r="C584" s="33"/>
      <c r="D584" s="50"/>
      <c r="E584" s="54"/>
      <c r="F584" s="31"/>
      <c r="G584" s="31"/>
      <c r="H584" s="39"/>
      <c r="I584" s="55"/>
    </row>
    <row r="585" spans="1:11" x14ac:dyDescent="0.3">
      <c r="A585" s="40"/>
      <c r="B585" s="24"/>
      <c r="C585" s="33"/>
      <c r="D585" s="50"/>
      <c r="E585" s="56"/>
      <c r="F585" s="31"/>
      <c r="G585" s="31"/>
      <c r="H585" s="39"/>
      <c r="I585" s="58"/>
    </row>
    <row r="586" spans="1:11" x14ac:dyDescent="0.3">
      <c r="A586" s="40"/>
      <c r="B586" s="24"/>
      <c r="C586" s="33"/>
      <c r="D586" s="50"/>
      <c r="E586" s="54"/>
      <c r="F586" s="31"/>
      <c r="G586" s="31"/>
      <c r="H586" s="39"/>
      <c r="I586" s="55"/>
    </row>
    <row r="587" spans="1:11" x14ac:dyDescent="0.3">
      <c r="A587" s="40"/>
      <c r="B587" s="24"/>
      <c r="C587" s="33"/>
      <c r="D587" s="50"/>
      <c r="E587" s="54"/>
      <c r="F587" s="31"/>
      <c r="G587" s="31"/>
      <c r="H587" s="39"/>
      <c r="I587" s="55"/>
    </row>
    <row r="588" spans="1:11" x14ac:dyDescent="0.3">
      <c r="A588" s="40"/>
      <c r="B588" s="24"/>
      <c r="C588" s="33"/>
      <c r="D588" s="50"/>
      <c r="E588" s="62"/>
      <c r="F588" s="31"/>
      <c r="G588" s="31"/>
      <c r="H588" s="39"/>
      <c r="I588" s="33"/>
    </row>
    <row r="589" spans="1:11" x14ac:dyDescent="0.3">
      <c r="A589" s="40"/>
      <c r="B589" s="24"/>
      <c r="C589" s="33"/>
      <c r="D589" s="50"/>
      <c r="E589" s="62"/>
      <c r="F589" s="31"/>
      <c r="G589" s="31"/>
      <c r="H589" s="39"/>
      <c r="I589" s="33"/>
    </row>
    <row r="590" spans="1:11" x14ac:dyDescent="0.3">
      <c r="A590" s="24"/>
      <c r="B590" s="24"/>
      <c r="D590" s="50"/>
      <c r="E590" s="54"/>
      <c r="F590" s="67"/>
      <c r="G590" s="67"/>
      <c r="H590" s="39"/>
      <c r="I590" s="55"/>
      <c r="J590" s="60"/>
      <c r="K590" s="60"/>
    </row>
    <row r="591" spans="1:11" x14ac:dyDescent="0.3">
      <c r="A591" s="24"/>
      <c r="B591" s="24"/>
      <c r="D591" s="50"/>
      <c r="E591" s="54"/>
      <c r="F591" s="67"/>
      <c r="G591" s="67"/>
      <c r="H591" s="39"/>
      <c r="I591" s="55"/>
      <c r="J591" s="60"/>
      <c r="K591" s="60"/>
    </row>
    <row r="592" spans="1:11" x14ac:dyDescent="0.3">
      <c r="A592" s="24"/>
      <c r="B592" s="24"/>
      <c r="D592" s="50"/>
      <c r="E592" s="54"/>
      <c r="F592" s="67"/>
      <c r="G592" s="67"/>
      <c r="H592" s="39"/>
      <c r="I592" s="55"/>
    </row>
    <row r="593" spans="1:9" x14ac:dyDescent="0.3">
      <c r="A593" s="24"/>
      <c r="B593" s="24"/>
      <c r="D593" s="50"/>
      <c r="E593" s="54"/>
      <c r="F593" s="67"/>
      <c r="G593" s="67"/>
      <c r="H593" s="39"/>
      <c r="I593" s="55"/>
    </row>
    <row r="594" spans="1:9" x14ac:dyDescent="0.3">
      <c r="A594" s="24"/>
      <c r="B594" s="24"/>
      <c r="D594" s="50"/>
      <c r="E594" s="54"/>
      <c r="F594" s="67"/>
      <c r="G594" s="67"/>
      <c r="H594" s="39"/>
      <c r="I594" s="55"/>
    </row>
    <row r="595" spans="1:9" x14ac:dyDescent="0.3">
      <c r="A595" s="24"/>
      <c r="B595" s="24"/>
      <c r="D595" s="63"/>
      <c r="E595" s="56"/>
      <c r="F595" s="25"/>
      <c r="G595" s="25"/>
      <c r="H595" s="39"/>
      <c r="I595" s="58"/>
    </row>
    <row r="596" spans="1:9" x14ac:dyDescent="0.3">
      <c r="A596" s="24"/>
      <c r="B596" s="24"/>
      <c r="D596" s="63"/>
      <c r="E596" s="54"/>
      <c r="F596" s="25"/>
      <c r="G596" s="25"/>
      <c r="H596" s="39"/>
      <c r="I596" s="55"/>
    </row>
    <row r="597" spans="1:9" x14ac:dyDescent="0.3">
      <c r="A597" s="24"/>
      <c r="B597" s="24"/>
      <c r="D597" s="63"/>
      <c r="E597" s="56"/>
      <c r="F597" s="25"/>
      <c r="G597" s="25"/>
      <c r="H597" s="39"/>
      <c r="I597" s="58"/>
    </row>
    <row r="598" spans="1:9" x14ac:dyDescent="0.3">
      <c r="A598" s="24"/>
      <c r="B598" s="24"/>
      <c r="D598" s="63"/>
      <c r="E598" s="56"/>
      <c r="F598" s="25"/>
      <c r="G598" s="25"/>
      <c r="H598" s="39"/>
      <c r="I598" s="58"/>
    </row>
    <row r="599" spans="1:9" x14ac:dyDescent="0.3">
      <c r="A599" s="24"/>
      <c r="B599" s="24"/>
      <c r="D599" s="63"/>
      <c r="E599" s="56"/>
      <c r="F599" s="25"/>
      <c r="G599" s="25"/>
      <c r="H599" s="39"/>
      <c r="I599" s="58"/>
    </row>
    <row r="600" spans="1:9" x14ac:dyDescent="0.3">
      <c r="A600" s="24"/>
      <c r="B600" s="24"/>
      <c r="D600" s="63"/>
      <c r="E600" s="56"/>
      <c r="F600" s="25"/>
      <c r="G600" s="25"/>
      <c r="H600" s="39"/>
      <c r="I600" s="58"/>
    </row>
    <row r="601" spans="1:9" x14ac:dyDescent="0.3">
      <c r="A601" s="24"/>
      <c r="B601" s="24"/>
      <c r="D601" s="63"/>
      <c r="E601" s="56"/>
      <c r="F601" s="25"/>
      <c r="G601" s="25"/>
      <c r="H601" s="39"/>
      <c r="I601" s="58"/>
    </row>
    <row r="602" spans="1:9" x14ac:dyDescent="0.3">
      <c r="A602" s="24"/>
      <c r="B602" s="24"/>
      <c r="D602" s="63"/>
      <c r="E602" s="56"/>
      <c r="F602" s="25"/>
      <c r="G602" s="25"/>
      <c r="H602" s="39"/>
      <c r="I602" s="58"/>
    </row>
    <row r="603" spans="1:9" x14ac:dyDescent="0.3">
      <c r="A603" s="24"/>
      <c r="B603" s="24"/>
      <c r="D603" s="50"/>
      <c r="E603" s="68"/>
      <c r="F603" s="25"/>
      <c r="G603" s="25"/>
      <c r="H603" s="39"/>
      <c r="I603" s="69"/>
    </row>
    <row r="604" spans="1:9" x14ac:dyDescent="0.3">
      <c r="A604" s="24"/>
      <c r="B604" s="24"/>
      <c r="D604" s="50"/>
      <c r="E604" s="68"/>
      <c r="F604" s="25"/>
      <c r="G604" s="25"/>
      <c r="H604" s="39"/>
      <c r="I604" s="69"/>
    </row>
    <row r="605" spans="1:9" x14ac:dyDescent="0.3">
      <c r="A605" s="24"/>
      <c r="B605" s="24"/>
      <c r="D605" s="50"/>
      <c r="E605" s="68"/>
      <c r="F605" s="25"/>
      <c r="G605" s="25"/>
      <c r="H605" s="39"/>
      <c r="I605" s="69"/>
    </row>
    <row r="606" spans="1:9" x14ac:dyDescent="0.3">
      <c r="A606" s="24"/>
      <c r="B606" s="24"/>
      <c r="D606" s="50"/>
      <c r="E606" s="68"/>
      <c r="F606" s="25"/>
      <c r="G606" s="25"/>
      <c r="H606" s="25"/>
      <c r="I606" s="69"/>
    </row>
    <row r="607" spans="1:9" x14ac:dyDescent="0.3">
      <c r="A607" s="24"/>
      <c r="B607" s="24"/>
      <c r="D607" s="50"/>
      <c r="E607" s="56"/>
      <c r="F607" s="25"/>
      <c r="G607" s="25"/>
      <c r="H607" s="39"/>
      <c r="I607" s="58"/>
    </row>
    <row r="608" spans="1:9" x14ac:dyDescent="0.3">
      <c r="A608" s="24"/>
      <c r="B608" s="24"/>
      <c r="D608" s="50"/>
      <c r="E608" s="51"/>
      <c r="F608" s="25"/>
      <c r="G608" s="25"/>
      <c r="H608" s="39"/>
      <c r="I608" s="53"/>
    </row>
    <row r="609" spans="1:9" x14ac:dyDescent="0.3">
      <c r="A609" s="24"/>
      <c r="B609" s="24"/>
      <c r="D609" s="50"/>
      <c r="E609" s="56"/>
      <c r="F609" s="25"/>
      <c r="G609" s="25"/>
      <c r="H609" s="39"/>
      <c r="I609" s="58"/>
    </row>
    <row r="610" spans="1:9" x14ac:dyDescent="0.3">
      <c r="A610" s="24"/>
      <c r="B610" s="24"/>
      <c r="D610" s="50"/>
      <c r="E610" s="56"/>
      <c r="F610" s="25"/>
      <c r="G610" s="25"/>
      <c r="H610" s="39"/>
      <c r="I610" s="58"/>
    </row>
    <row r="611" spans="1:9" x14ac:dyDescent="0.3">
      <c r="A611" s="24"/>
      <c r="B611" s="24"/>
      <c r="C611" s="24"/>
      <c r="D611" s="50"/>
      <c r="E611" s="54"/>
      <c r="F611" s="67"/>
      <c r="G611" s="67"/>
      <c r="H611" s="39"/>
      <c r="I611" s="55"/>
    </row>
    <row r="612" spans="1:9" x14ac:dyDescent="0.3">
      <c r="A612" s="24"/>
      <c r="B612" s="24"/>
      <c r="C612" s="24"/>
      <c r="D612" s="50"/>
      <c r="E612" s="54"/>
      <c r="F612" s="67"/>
      <c r="G612" s="67"/>
      <c r="H612" s="39"/>
      <c r="I612" s="55"/>
    </row>
    <row r="613" spans="1:9" x14ac:dyDescent="0.3">
      <c r="A613" s="24"/>
      <c r="B613" s="24"/>
      <c r="C613" s="24"/>
      <c r="D613" s="50"/>
      <c r="E613" s="54"/>
      <c r="F613" s="67"/>
      <c r="G613" s="67"/>
      <c r="H613" s="39"/>
      <c r="I613" s="55"/>
    </row>
    <row r="614" spans="1:9" x14ac:dyDescent="0.3">
      <c r="A614" s="24"/>
      <c r="B614" s="24"/>
      <c r="C614" s="24"/>
      <c r="D614" s="50"/>
      <c r="E614" s="54"/>
      <c r="F614" s="67"/>
      <c r="G614" s="67"/>
      <c r="H614" s="39"/>
      <c r="I614" s="55"/>
    </row>
    <row r="615" spans="1:9" x14ac:dyDescent="0.3">
      <c r="A615" s="24"/>
      <c r="B615" s="24"/>
      <c r="D615" s="50"/>
      <c r="E615" s="54"/>
      <c r="F615" s="67"/>
      <c r="G615" s="67"/>
      <c r="H615" s="39"/>
      <c r="I615" s="55"/>
    </row>
    <row r="616" spans="1:9" x14ac:dyDescent="0.3">
      <c r="A616" s="24"/>
      <c r="B616" s="24"/>
      <c r="D616" s="50"/>
      <c r="E616" s="54"/>
      <c r="F616" s="67"/>
      <c r="G616" s="67"/>
      <c r="H616" s="39"/>
      <c r="I616" s="55"/>
    </row>
    <row r="617" spans="1:9" x14ac:dyDescent="0.3">
      <c r="A617" s="24"/>
      <c r="B617" s="24"/>
      <c r="D617" s="50"/>
      <c r="E617" s="54"/>
      <c r="F617" s="67"/>
      <c r="G617" s="67"/>
      <c r="H617" s="39"/>
      <c r="I617" s="55"/>
    </row>
    <row r="618" spans="1:9" x14ac:dyDescent="0.3">
      <c r="A618" s="24"/>
      <c r="B618" s="24"/>
      <c r="D618" s="50"/>
      <c r="E618" s="54"/>
      <c r="F618" s="67"/>
      <c r="G618" s="67"/>
      <c r="H618" s="39"/>
      <c r="I618" s="55"/>
    </row>
    <row r="619" spans="1:9" x14ac:dyDescent="0.3">
      <c r="A619" s="24"/>
      <c r="B619" s="24"/>
      <c r="C619" s="24"/>
      <c r="D619" s="50"/>
      <c r="E619" s="30"/>
      <c r="F619" s="57"/>
      <c r="G619" s="57"/>
      <c r="H619" s="35"/>
    </row>
    <row r="620" spans="1:9" x14ac:dyDescent="0.3">
      <c r="A620" s="24"/>
      <c r="B620" s="24"/>
      <c r="C620" s="24"/>
      <c r="D620" s="50"/>
      <c r="E620" s="30"/>
      <c r="F620" s="57"/>
      <c r="G620" s="57"/>
      <c r="H620" s="35"/>
    </row>
    <row r="621" spans="1:9" x14ac:dyDescent="0.3">
      <c r="A621" s="24"/>
      <c r="B621" s="24"/>
      <c r="C621" s="24"/>
      <c r="D621" s="50"/>
      <c r="E621" s="30"/>
      <c r="F621" s="57"/>
      <c r="G621" s="57"/>
      <c r="H621" s="35"/>
    </row>
    <row r="622" spans="1:9" x14ac:dyDescent="0.3">
      <c r="A622" s="24"/>
      <c r="B622" s="24"/>
      <c r="C622" s="24"/>
      <c r="D622" s="50"/>
      <c r="E622" s="30"/>
      <c r="F622" s="57"/>
      <c r="G622" s="57"/>
      <c r="H622" s="39"/>
    </row>
    <row r="623" spans="1:9" x14ac:dyDescent="0.3">
      <c r="A623" s="24"/>
      <c r="B623" s="24"/>
      <c r="C623" s="24"/>
      <c r="D623" s="50"/>
      <c r="E623" s="30"/>
      <c r="F623" s="57"/>
      <c r="G623" s="57"/>
      <c r="H623" s="35"/>
    </row>
    <row r="624" spans="1:9" x14ac:dyDescent="0.3">
      <c r="A624" s="24"/>
      <c r="B624" s="24"/>
      <c r="D624" s="50"/>
      <c r="E624" s="54"/>
      <c r="F624" s="25"/>
      <c r="G624" s="25"/>
      <c r="H624" s="39"/>
      <c r="I624" s="55"/>
    </row>
    <row r="625" spans="1:9" x14ac:dyDescent="0.3">
      <c r="A625" s="24"/>
      <c r="B625" s="24"/>
      <c r="D625" s="50"/>
      <c r="E625" s="70"/>
      <c r="F625" s="25"/>
      <c r="G625" s="25"/>
      <c r="H625" s="39"/>
      <c r="I625" s="71"/>
    </row>
    <row r="626" spans="1:9" x14ac:dyDescent="0.3">
      <c r="A626" s="24"/>
      <c r="B626" s="24"/>
      <c r="D626" s="50"/>
      <c r="E626" s="54"/>
      <c r="F626" s="25"/>
      <c r="G626" s="25"/>
      <c r="H626" s="39"/>
      <c r="I626" s="55"/>
    </row>
    <row r="627" spans="1:9" x14ac:dyDescent="0.3">
      <c r="A627" s="24"/>
      <c r="B627" s="24"/>
      <c r="D627" s="50"/>
      <c r="E627" s="70"/>
      <c r="F627" s="25"/>
      <c r="G627" s="25"/>
      <c r="I627" s="71"/>
    </row>
    <row r="628" spans="1:9" x14ac:dyDescent="0.3">
      <c r="A628" s="24"/>
      <c r="B628" s="24"/>
      <c r="D628" s="50"/>
      <c r="E628" s="70"/>
      <c r="F628" s="25"/>
      <c r="G628" s="25"/>
      <c r="I628" s="71"/>
    </row>
    <row r="629" spans="1:9" x14ac:dyDescent="0.3">
      <c r="A629" s="24"/>
      <c r="B629" s="24"/>
      <c r="C629" s="24"/>
      <c r="D629" s="50"/>
      <c r="E629" s="54"/>
      <c r="F629" s="25"/>
      <c r="G629" s="25"/>
      <c r="H629" s="39"/>
      <c r="I629" s="55"/>
    </row>
    <row r="630" spans="1:9" x14ac:dyDescent="0.3">
      <c r="A630" s="24"/>
      <c r="B630" s="24"/>
      <c r="C630" s="24"/>
      <c r="D630" s="50"/>
      <c r="E630" s="70"/>
      <c r="F630" s="25"/>
      <c r="G630" s="25"/>
      <c r="H630" s="39"/>
      <c r="I630" s="71"/>
    </row>
    <row r="631" spans="1:9" x14ac:dyDescent="0.3">
      <c r="A631" s="24"/>
      <c r="B631" s="24"/>
      <c r="C631" s="24"/>
      <c r="D631" s="50"/>
      <c r="E631" s="70"/>
      <c r="F631" s="25"/>
      <c r="G631" s="25"/>
      <c r="H631" s="39"/>
      <c r="I631" s="71"/>
    </row>
    <row r="632" spans="1:9" x14ac:dyDescent="0.3">
      <c r="A632" s="24"/>
      <c r="B632" s="24"/>
      <c r="C632" s="24"/>
      <c r="D632" s="50"/>
      <c r="E632" s="70"/>
      <c r="F632" s="25"/>
      <c r="G632" s="25"/>
      <c r="H632" s="39"/>
      <c r="I632" s="71"/>
    </row>
    <row r="633" spans="1:9" x14ac:dyDescent="0.3">
      <c r="A633" s="24"/>
      <c r="B633" s="24"/>
      <c r="C633" s="24"/>
      <c r="D633" s="50"/>
      <c r="E633" s="70"/>
      <c r="F633" s="25"/>
      <c r="G633" s="25"/>
      <c r="H633" s="39"/>
      <c r="I633" s="71"/>
    </row>
    <row r="634" spans="1:9" x14ac:dyDescent="0.3">
      <c r="A634" s="24"/>
      <c r="B634" s="24"/>
      <c r="C634" s="72"/>
      <c r="D634" s="50"/>
      <c r="E634" s="54"/>
      <c r="F634" s="25"/>
      <c r="G634" s="25"/>
      <c r="H634" s="39"/>
      <c r="I634" s="55"/>
    </row>
    <row r="635" spans="1:9" x14ac:dyDescent="0.3">
      <c r="A635" s="24"/>
      <c r="B635" s="24"/>
      <c r="C635" s="72"/>
      <c r="D635" s="50"/>
      <c r="E635" s="30"/>
      <c r="F635" s="25"/>
      <c r="G635" s="25"/>
      <c r="H635" s="35"/>
    </row>
    <row r="636" spans="1:9" x14ac:dyDescent="0.3">
      <c r="A636" s="24"/>
      <c r="B636" s="24"/>
      <c r="C636" s="72"/>
      <c r="D636" s="50"/>
      <c r="E636" s="30"/>
      <c r="F636" s="25"/>
      <c r="G636" s="25"/>
      <c r="H636" s="35"/>
    </row>
    <row r="637" spans="1:9" x14ac:dyDescent="0.3">
      <c r="A637" s="24"/>
      <c r="B637" s="24"/>
      <c r="C637" s="72"/>
      <c r="D637" s="50"/>
      <c r="E637" s="30"/>
      <c r="F637" s="25"/>
      <c r="G637" s="25"/>
      <c r="H637" s="35"/>
    </row>
    <row r="638" spans="1:9" x14ac:dyDescent="0.3">
      <c r="A638" s="24"/>
      <c r="B638" s="24"/>
      <c r="C638" s="24"/>
      <c r="D638" s="50"/>
      <c r="E638" s="54"/>
      <c r="F638" s="25"/>
      <c r="G638" s="25"/>
      <c r="H638" s="39"/>
      <c r="I638" s="55"/>
    </row>
    <row r="639" spans="1:9" x14ac:dyDescent="0.3">
      <c r="A639" s="24"/>
      <c r="B639" s="24"/>
      <c r="C639" s="24"/>
      <c r="D639" s="50"/>
      <c r="E639" s="54"/>
      <c r="F639" s="25"/>
      <c r="G639" s="25"/>
      <c r="H639" s="39"/>
      <c r="I639" s="55"/>
    </row>
    <row r="640" spans="1:9" x14ac:dyDescent="0.3">
      <c r="A640" s="24"/>
      <c r="B640" s="24"/>
      <c r="C640" s="24"/>
      <c r="D640" s="50"/>
      <c r="E640" s="56"/>
      <c r="F640" s="25"/>
      <c r="G640" s="25"/>
      <c r="H640" s="39"/>
      <c r="I640" s="58"/>
    </row>
    <row r="641" spans="1:9" x14ac:dyDescent="0.3">
      <c r="A641" s="24"/>
      <c r="B641" s="24"/>
      <c r="C641" s="24"/>
      <c r="D641" s="50"/>
      <c r="E641" s="30"/>
      <c r="F641" s="25"/>
      <c r="G641" s="25"/>
      <c r="H641" s="39"/>
    </row>
    <row r="642" spans="1:9" x14ac:dyDescent="0.3">
      <c r="A642" s="24"/>
      <c r="B642" s="24"/>
      <c r="C642" s="24"/>
      <c r="D642" s="50"/>
      <c r="E642" s="54"/>
      <c r="F642" s="25"/>
      <c r="G642" s="25"/>
      <c r="H642" s="35"/>
      <c r="I642" s="55"/>
    </row>
    <row r="643" spans="1:9" x14ac:dyDescent="0.3">
      <c r="A643" s="24"/>
      <c r="B643" s="72"/>
      <c r="C643" s="72"/>
      <c r="D643" s="50"/>
      <c r="E643" s="54"/>
      <c r="F643" s="25"/>
      <c r="G643" s="25"/>
      <c r="H643" s="39"/>
      <c r="I643" s="55"/>
    </row>
    <row r="644" spans="1:9" x14ac:dyDescent="0.3">
      <c r="A644" s="24"/>
      <c r="B644" s="72"/>
      <c r="C644" s="72"/>
      <c r="D644" s="50"/>
      <c r="E644" s="54"/>
      <c r="F644" s="25"/>
      <c r="G644" s="25"/>
      <c r="H644" s="39"/>
      <c r="I644" s="55"/>
    </row>
    <row r="645" spans="1:9" x14ac:dyDescent="0.3">
      <c r="A645" s="24"/>
      <c r="B645" s="72"/>
      <c r="C645" s="72"/>
      <c r="D645" s="50"/>
      <c r="E645" s="56"/>
      <c r="F645" s="25"/>
      <c r="G645" s="25"/>
      <c r="H645" s="39"/>
      <c r="I645" s="58"/>
    </row>
    <row r="646" spans="1:9" x14ac:dyDescent="0.3">
      <c r="A646" s="24"/>
      <c r="B646" s="72"/>
      <c r="C646" s="72"/>
      <c r="D646" s="50"/>
      <c r="E646" s="30"/>
      <c r="F646" s="25"/>
      <c r="G646" s="25"/>
      <c r="H646" s="39"/>
    </row>
    <row r="647" spans="1:9" x14ac:dyDescent="0.3">
      <c r="A647" s="24"/>
      <c r="B647" s="72"/>
      <c r="C647" s="72"/>
      <c r="D647" s="50"/>
      <c r="E647" s="54"/>
      <c r="F647" s="25"/>
      <c r="G647" s="25"/>
      <c r="H647" s="35"/>
      <c r="I647" s="55"/>
    </row>
    <row r="648" spans="1:9" x14ac:dyDescent="0.3">
      <c r="A648" s="24"/>
      <c r="B648" s="72"/>
      <c r="C648" s="72"/>
      <c r="D648" s="50"/>
      <c r="E648" s="54"/>
      <c r="F648" s="25"/>
      <c r="G648" s="25"/>
      <c r="H648" s="39"/>
      <c r="I648" s="55"/>
    </row>
    <row r="649" spans="1:9" x14ac:dyDescent="0.3">
      <c r="A649" s="24"/>
      <c r="B649" s="72"/>
      <c r="C649" s="72"/>
      <c r="D649" s="50"/>
      <c r="E649" s="54"/>
      <c r="F649" s="25"/>
      <c r="G649" s="25"/>
      <c r="H649" s="39"/>
      <c r="I649" s="55"/>
    </row>
    <row r="650" spans="1:9" x14ac:dyDescent="0.3">
      <c r="A650" s="24"/>
      <c r="B650" s="72"/>
      <c r="C650" s="72"/>
      <c r="D650" s="50"/>
      <c r="E650" s="56"/>
      <c r="F650" s="25"/>
      <c r="G650" s="25"/>
      <c r="H650" s="39"/>
      <c r="I650" s="58"/>
    </row>
    <row r="651" spans="1:9" x14ac:dyDescent="0.3">
      <c r="A651" s="24"/>
      <c r="B651" s="72"/>
      <c r="C651" s="72"/>
      <c r="D651" s="50"/>
      <c r="E651" s="30"/>
      <c r="F651" s="25"/>
      <c r="G651" s="25"/>
      <c r="H651" s="39"/>
    </row>
    <row r="652" spans="1:9" x14ac:dyDescent="0.3">
      <c r="A652" s="24"/>
      <c r="B652" s="72"/>
      <c r="C652" s="72"/>
      <c r="D652" s="50"/>
      <c r="E652" s="54"/>
      <c r="F652" s="25"/>
      <c r="G652" s="25"/>
      <c r="H652" s="35"/>
      <c r="I652" s="55"/>
    </row>
    <row r="653" spans="1:9" x14ac:dyDescent="0.3">
      <c r="A653" s="24"/>
      <c r="B653" s="72"/>
      <c r="C653" s="72"/>
      <c r="D653" s="50"/>
      <c r="E653" s="54"/>
      <c r="F653" s="25"/>
      <c r="G653" s="25"/>
      <c r="H653" s="39"/>
      <c r="I653" s="55"/>
    </row>
    <row r="654" spans="1:9" x14ac:dyDescent="0.3">
      <c r="A654" s="24"/>
      <c r="B654" s="72"/>
      <c r="C654" s="72"/>
      <c r="D654" s="50"/>
      <c r="E654" s="54"/>
      <c r="F654" s="25"/>
      <c r="G654" s="25"/>
      <c r="H654" s="39"/>
      <c r="I654" s="55"/>
    </row>
    <row r="655" spans="1:9" x14ac:dyDescent="0.3">
      <c r="A655" s="24"/>
      <c r="B655" s="72"/>
      <c r="C655" s="72"/>
      <c r="D655" s="50"/>
      <c r="E655" s="56"/>
      <c r="F655" s="25"/>
      <c r="G655" s="25"/>
      <c r="H655" s="39"/>
      <c r="I655" s="58"/>
    </row>
    <row r="656" spans="1:9" x14ac:dyDescent="0.3">
      <c r="A656" s="24"/>
      <c r="B656" s="72"/>
      <c r="C656" s="72"/>
      <c r="D656" s="50"/>
      <c r="E656" s="30"/>
      <c r="F656" s="25"/>
      <c r="G656" s="25"/>
      <c r="H656" s="39"/>
    </row>
    <row r="657" spans="1:9" x14ac:dyDescent="0.3">
      <c r="A657" s="24"/>
      <c r="B657" s="72"/>
      <c r="C657" s="72"/>
      <c r="D657" s="50"/>
      <c r="E657" s="54"/>
      <c r="F657" s="25"/>
      <c r="G657" s="25"/>
      <c r="H657" s="35"/>
      <c r="I657" s="55"/>
    </row>
    <row r="658" spans="1:9" x14ac:dyDescent="0.3">
      <c r="A658" s="24"/>
      <c r="B658" s="72"/>
      <c r="C658" s="72"/>
      <c r="D658" s="50"/>
      <c r="E658" s="54"/>
      <c r="F658" s="25"/>
      <c r="G658" s="25"/>
      <c r="H658" s="39"/>
      <c r="I658" s="55"/>
    </row>
    <row r="659" spans="1:9" x14ac:dyDescent="0.3">
      <c r="A659" s="24"/>
      <c r="B659" s="72"/>
      <c r="C659" s="72"/>
      <c r="D659" s="50"/>
      <c r="E659" s="54"/>
      <c r="F659" s="25"/>
      <c r="G659" s="25"/>
      <c r="H659" s="39"/>
      <c r="I659" s="55"/>
    </row>
    <row r="660" spans="1:9" x14ac:dyDescent="0.3">
      <c r="A660" s="24"/>
      <c r="B660" s="72"/>
      <c r="C660" s="72"/>
      <c r="D660" s="50"/>
      <c r="E660" s="56"/>
      <c r="F660" s="25"/>
      <c r="G660" s="25"/>
      <c r="H660" s="39"/>
      <c r="I660" s="58"/>
    </row>
    <row r="661" spans="1:9" x14ac:dyDescent="0.3">
      <c r="A661" s="24"/>
      <c r="B661" s="72"/>
      <c r="C661" s="72"/>
      <c r="D661" s="50"/>
      <c r="E661" s="30"/>
      <c r="F661" s="25"/>
      <c r="G661" s="25"/>
      <c r="H661" s="39"/>
    </row>
    <row r="662" spans="1:9" x14ac:dyDescent="0.3">
      <c r="A662" s="24"/>
      <c r="B662" s="72"/>
      <c r="C662" s="72"/>
      <c r="D662" s="50"/>
      <c r="E662" s="54"/>
      <c r="F662" s="25"/>
      <c r="G662" s="25"/>
      <c r="H662" s="35"/>
      <c r="I662" s="55"/>
    </row>
    <row r="663" spans="1:9" x14ac:dyDescent="0.3">
      <c r="A663" s="24"/>
      <c r="B663" s="72"/>
      <c r="C663" s="72"/>
      <c r="D663" s="50"/>
      <c r="E663" s="54"/>
      <c r="F663" s="25"/>
      <c r="G663" s="25"/>
      <c r="H663" s="39"/>
      <c r="I663" s="55"/>
    </row>
    <row r="664" spans="1:9" x14ac:dyDescent="0.3">
      <c r="A664" s="24"/>
      <c r="B664" s="72"/>
      <c r="C664" s="72"/>
      <c r="D664" s="50"/>
      <c r="E664" s="54"/>
      <c r="F664" s="25"/>
      <c r="G664" s="25"/>
      <c r="H664" s="39"/>
      <c r="I664" s="55"/>
    </row>
    <row r="665" spans="1:9" x14ac:dyDescent="0.3">
      <c r="A665" s="24"/>
      <c r="B665" s="72"/>
      <c r="C665" s="72"/>
      <c r="D665" s="50"/>
      <c r="E665" s="56"/>
      <c r="F665" s="25"/>
      <c r="G665" s="25"/>
      <c r="H665" s="39"/>
      <c r="I665" s="58"/>
    </row>
    <row r="666" spans="1:9" x14ac:dyDescent="0.3">
      <c r="A666" s="24"/>
      <c r="B666" s="72"/>
      <c r="C666" s="72"/>
      <c r="D666" s="50"/>
      <c r="E666" s="30"/>
      <c r="F666" s="25"/>
      <c r="G666" s="25"/>
      <c r="H666" s="39"/>
    </row>
    <row r="667" spans="1:9" x14ac:dyDescent="0.3">
      <c r="A667" s="24"/>
      <c r="B667" s="72"/>
      <c r="C667" s="72"/>
      <c r="D667" s="50"/>
      <c r="E667" s="54"/>
      <c r="F667" s="25"/>
      <c r="G667" s="25"/>
      <c r="H667" s="35"/>
      <c r="I667" s="55"/>
    </row>
    <row r="668" spans="1:9" x14ac:dyDescent="0.3">
      <c r="A668" s="24"/>
      <c r="B668" s="72"/>
      <c r="C668" s="72"/>
      <c r="D668" s="50"/>
      <c r="E668" s="54"/>
      <c r="F668" s="25"/>
      <c r="G668" s="25"/>
      <c r="H668" s="39"/>
      <c r="I668" s="55"/>
    </row>
    <row r="669" spans="1:9" x14ac:dyDescent="0.3">
      <c r="A669" s="24"/>
      <c r="B669" s="72"/>
      <c r="C669" s="72"/>
      <c r="D669" s="50"/>
      <c r="E669" s="54"/>
      <c r="F669" s="25"/>
      <c r="G669" s="25"/>
      <c r="H669" s="39"/>
      <c r="I669" s="55"/>
    </row>
    <row r="670" spans="1:9" x14ac:dyDescent="0.3">
      <c r="A670" s="24"/>
      <c r="B670" s="72"/>
      <c r="C670" s="72"/>
      <c r="D670" s="50"/>
      <c r="E670" s="56"/>
      <c r="F670" s="25"/>
      <c r="G670" s="25"/>
      <c r="H670" s="39"/>
      <c r="I670" s="58"/>
    </row>
    <row r="671" spans="1:9" x14ac:dyDescent="0.3">
      <c r="A671" s="24"/>
      <c r="B671" s="72"/>
      <c r="C671" s="72"/>
      <c r="D671" s="50"/>
      <c r="E671" s="30"/>
      <c r="F671" s="25"/>
      <c r="G671" s="25"/>
      <c r="H671" s="39"/>
    </row>
    <row r="672" spans="1:9" x14ac:dyDescent="0.3">
      <c r="A672" s="24"/>
      <c r="B672" s="72"/>
      <c r="C672" s="72"/>
      <c r="D672" s="50"/>
      <c r="E672" s="54"/>
      <c r="F672" s="25"/>
      <c r="G672" s="25"/>
      <c r="H672" s="35"/>
      <c r="I672" s="55"/>
    </row>
    <row r="673" spans="1:9" x14ac:dyDescent="0.3">
      <c r="A673" s="24"/>
      <c r="B673" s="72"/>
      <c r="C673" s="73"/>
      <c r="D673" s="50"/>
      <c r="E673" s="54"/>
      <c r="F673" s="25"/>
      <c r="G673" s="25"/>
      <c r="H673" s="39"/>
      <c r="I673" s="55"/>
    </row>
    <row r="674" spans="1:9" x14ac:dyDescent="0.3">
      <c r="A674" s="24"/>
      <c r="B674" s="72"/>
      <c r="C674" s="73"/>
      <c r="D674" s="50"/>
      <c r="E674" s="54"/>
      <c r="F674" s="25"/>
      <c r="G674" s="25"/>
      <c r="H674" s="39"/>
      <c r="I674" s="55"/>
    </row>
    <row r="675" spans="1:9" x14ac:dyDescent="0.3">
      <c r="A675" s="24"/>
      <c r="B675" s="72"/>
      <c r="C675" s="73"/>
      <c r="D675" s="50"/>
      <c r="E675" s="56"/>
      <c r="F675" s="25"/>
      <c r="G675" s="25"/>
      <c r="H675" s="39"/>
      <c r="I675" s="58"/>
    </row>
    <row r="676" spans="1:9" x14ac:dyDescent="0.3">
      <c r="A676" s="24"/>
      <c r="B676" s="72"/>
      <c r="C676" s="73"/>
      <c r="D676" s="50"/>
      <c r="E676" s="30"/>
      <c r="F676" s="25"/>
      <c r="G676" s="25"/>
      <c r="H676" s="39"/>
    </row>
    <row r="677" spans="1:9" x14ac:dyDescent="0.3">
      <c r="A677" s="24"/>
      <c r="B677" s="72"/>
      <c r="C677" s="73"/>
      <c r="D677" s="50"/>
      <c r="E677" s="54"/>
      <c r="F677" s="25"/>
      <c r="G677" s="25"/>
      <c r="H677" s="35"/>
      <c r="I677" s="55"/>
    </row>
    <row r="678" spans="1:9" x14ac:dyDescent="0.3">
      <c r="A678" s="24"/>
      <c r="B678" s="72"/>
      <c r="C678" s="72"/>
      <c r="D678" s="50"/>
      <c r="E678" s="54"/>
      <c r="F678" s="25"/>
      <c r="G678" s="25"/>
      <c r="H678" s="39"/>
      <c r="I678" s="55"/>
    </row>
    <row r="679" spans="1:9" x14ac:dyDescent="0.3">
      <c r="A679" s="24"/>
      <c r="B679" s="72"/>
      <c r="C679" s="72"/>
      <c r="D679" s="50"/>
      <c r="E679" s="54"/>
      <c r="F679" s="25"/>
      <c r="G679" s="25"/>
      <c r="H679" s="39"/>
      <c r="I679" s="55"/>
    </row>
    <row r="680" spans="1:9" x14ac:dyDescent="0.3">
      <c r="A680" s="24"/>
      <c r="B680" s="72"/>
      <c r="C680" s="72"/>
      <c r="D680" s="50"/>
      <c r="E680" s="56"/>
      <c r="F680" s="25"/>
      <c r="G680" s="25"/>
      <c r="H680" s="39"/>
      <c r="I680" s="58"/>
    </row>
    <row r="681" spans="1:9" x14ac:dyDescent="0.3">
      <c r="A681" s="24"/>
      <c r="B681" s="72"/>
      <c r="C681" s="72"/>
      <c r="D681" s="50"/>
      <c r="E681" s="30"/>
      <c r="F681" s="25"/>
      <c r="G681" s="25"/>
      <c r="H681" s="39"/>
    </row>
    <row r="682" spans="1:9" x14ac:dyDescent="0.3">
      <c r="A682" s="24"/>
      <c r="B682" s="72"/>
      <c r="C682" s="72"/>
      <c r="D682" s="50"/>
      <c r="E682" s="54"/>
      <c r="F682" s="25"/>
      <c r="G682" s="25"/>
      <c r="H682" s="35"/>
      <c r="I682" s="55"/>
    </row>
    <row r="683" spans="1:9" x14ac:dyDescent="0.3">
      <c r="A683" s="24"/>
      <c r="B683" s="72"/>
      <c r="C683" s="72"/>
      <c r="D683" s="50"/>
      <c r="E683" s="54"/>
      <c r="F683" s="25"/>
      <c r="G683" s="25"/>
      <c r="H683" s="39"/>
      <c r="I683" s="55"/>
    </row>
    <row r="684" spans="1:9" x14ac:dyDescent="0.3">
      <c r="A684" s="24"/>
      <c r="B684" s="72"/>
      <c r="C684" s="72"/>
      <c r="D684" s="50"/>
      <c r="E684" s="54"/>
      <c r="F684" s="25"/>
      <c r="G684" s="25"/>
      <c r="H684" s="39"/>
      <c r="I684" s="55"/>
    </row>
    <row r="685" spans="1:9" x14ac:dyDescent="0.3">
      <c r="A685" s="24"/>
      <c r="B685" s="72"/>
      <c r="C685" s="72"/>
      <c r="D685" s="50"/>
      <c r="E685" s="56"/>
      <c r="F685" s="25"/>
      <c r="G685" s="25"/>
      <c r="H685" s="39"/>
      <c r="I685" s="58"/>
    </row>
    <row r="686" spans="1:9" x14ac:dyDescent="0.3">
      <c r="A686" s="24"/>
      <c r="B686" s="72"/>
      <c r="C686" s="72"/>
      <c r="D686" s="50"/>
      <c r="E686" s="30"/>
      <c r="F686" s="25"/>
      <c r="G686" s="25"/>
      <c r="H686" s="39"/>
    </row>
    <row r="687" spans="1:9" x14ac:dyDescent="0.3">
      <c r="A687" s="24"/>
      <c r="B687" s="72"/>
      <c r="C687" s="72"/>
      <c r="D687" s="50"/>
      <c r="E687" s="54"/>
      <c r="F687" s="25"/>
      <c r="G687" s="25"/>
      <c r="H687" s="35"/>
      <c r="I687" s="55"/>
    </row>
    <row r="688" spans="1:9" x14ac:dyDescent="0.3">
      <c r="A688" s="24"/>
      <c r="B688" s="72"/>
      <c r="C688" s="72"/>
      <c r="D688" s="50"/>
      <c r="E688" s="54"/>
      <c r="F688" s="25"/>
      <c r="G688" s="25"/>
      <c r="H688" s="39"/>
      <c r="I688" s="55"/>
    </row>
    <row r="689" spans="1:9" x14ac:dyDescent="0.3">
      <c r="A689" s="24"/>
      <c r="B689" s="72"/>
      <c r="C689" s="72"/>
      <c r="D689" s="50"/>
      <c r="E689" s="54"/>
      <c r="F689" s="25"/>
      <c r="G689" s="25"/>
      <c r="H689" s="39"/>
      <c r="I689" s="55"/>
    </row>
    <row r="690" spans="1:9" x14ac:dyDescent="0.3">
      <c r="A690" s="24"/>
      <c r="B690" s="72"/>
      <c r="C690" s="72"/>
      <c r="D690" s="50"/>
      <c r="E690" s="56"/>
      <c r="F690" s="25"/>
      <c r="G690" s="25"/>
      <c r="H690" s="39"/>
      <c r="I690" s="58"/>
    </row>
    <row r="691" spans="1:9" x14ac:dyDescent="0.3">
      <c r="A691" s="24"/>
      <c r="B691" s="72"/>
      <c r="C691" s="72"/>
      <c r="D691" s="50"/>
      <c r="E691" s="30"/>
      <c r="F691" s="25"/>
      <c r="G691" s="25"/>
      <c r="H691" s="39"/>
    </row>
    <row r="692" spans="1:9" x14ac:dyDescent="0.3">
      <c r="A692" s="24"/>
      <c r="B692" s="72"/>
      <c r="C692" s="72"/>
      <c r="D692" s="50"/>
      <c r="E692" s="54"/>
      <c r="F692" s="25"/>
      <c r="G692" s="25"/>
      <c r="H692" s="35"/>
      <c r="I692" s="55"/>
    </row>
    <row r="693" spans="1:9" x14ac:dyDescent="0.3">
      <c r="A693" s="24"/>
      <c r="B693" s="72"/>
      <c r="C693" s="72"/>
      <c r="D693" s="50"/>
      <c r="E693" s="54"/>
      <c r="F693" s="25"/>
      <c r="G693" s="25"/>
      <c r="H693" s="39"/>
      <c r="I693" s="55"/>
    </row>
    <row r="694" spans="1:9" x14ac:dyDescent="0.3">
      <c r="A694" s="24"/>
      <c r="B694" s="72"/>
      <c r="C694" s="72"/>
      <c r="D694" s="50"/>
      <c r="E694" s="54"/>
      <c r="F694" s="25"/>
      <c r="G694" s="25"/>
      <c r="H694" s="39"/>
      <c r="I694" s="55"/>
    </row>
    <row r="695" spans="1:9" x14ac:dyDescent="0.3">
      <c r="A695" s="24"/>
      <c r="B695" s="72"/>
      <c r="C695" s="72"/>
      <c r="D695" s="50"/>
      <c r="E695" s="56"/>
      <c r="F695" s="25"/>
      <c r="G695" s="25"/>
      <c r="H695" s="39"/>
      <c r="I695" s="58"/>
    </row>
    <row r="696" spans="1:9" x14ac:dyDescent="0.3">
      <c r="A696" s="24"/>
      <c r="B696" s="72"/>
      <c r="C696" s="72"/>
      <c r="D696" s="50"/>
      <c r="E696" s="30"/>
      <c r="F696" s="25"/>
      <c r="G696" s="25"/>
      <c r="H696" s="39"/>
    </row>
    <row r="697" spans="1:9" x14ac:dyDescent="0.3">
      <c r="A697" s="24"/>
      <c r="B697" s="72"/>
      <c r="C697" s="72"/>
      <c r="D697" s="50"/>
      <c r="E697" s="54"/>
      <c r="F697" s="25"/>
      <c r="G697" s="25"/>
      <c r="H697" s="35"/>
      <c r="I697" s="55"/>
    </row>
    <row r="698" spans="1:9" x14ac:dyDescent="0.3">
      <c r="A698" s="24"/>
      <c r="B698" s="72"/>
      <c r="C698" s="72"/>
      <c r="D698" s="50"/>
      <c r="E698" s="54"/>
      <c r="F698" s="25"/>
      <c r="G698" s="25"/>
      <c r="H698" s="39"/>
      <c r="I698" s="55"/>
    </row>
    <row r="699" spans="1:9" x14ac:dyDescent="0.3">
      <c r="A699" s="24"/>
      <c r="B699" s="72"/>
      <c r="C699" s="72"/>
      <c r="D699" s="50"/>
      <c r="E699" s="54"/>
      <c r="F699" s="25"/>
      <c r="G699" s="25"/>
      <c r="H699" s="39"/>
      <c r="I699" s="55"/>
    </row>
    <row r="700" spans="1:9" x14ac:dyDescent="0.3">
      <c r="A700" s="24"/>
      <c r="B700" s="72"/>
      <c r="C700" s="72"/>
      <c r="D700" s="50"/>
      <c r="E700" s="56"/>
      <c r="F700" s="25"/>
      <c r="G700" s="25"/>
      <c r="H700" s="39"/>
      <c r="I700" s="58"/>
    </row>
    <row r="701" spans="1:9" x14ac:dyDescent="0.3">
      <c r="A701" s="24"/>
      <c r="B701" s="72"/>
      <c r="C701" s="72"/>
      <c r="D701" s="50"/>
      <c r="E701" s="30"/>
      <c r="F701" s="25"/>
      <c r="G701" s="25"/>
      <c r="H701" s="39"/>
    </row>
    <row r="702" spans="1:9" x14ac:dyDescent="0.3">
      <c r="A702" s="24"/>
      <c r="B702" s="72"/>
      <c r="C702" s="72"/>
      <c r="D702" s="50"/>
      <c r="E702" s="54"/>
      <c r="F702" s="25"/>
      <c r="G702" s="25"/>
      <c r="H702" s="35"/>
      <c r="I702" s="55"/>
    </row>
    <row r="703" spans="1:9" x14ac:dyDescent="0.3">
      <c r="A703" s="24"/>
      <c r="B703" s="72"/>
      <c r="C703" s="74"/>
      <c r="D703" s="50"/>
      <c r="E703" s="54"/>
      <c r="F703" s="25"/>
      <c r="G703" s="25"/>
      <c r="H703" s="39"/>
      <c r="I703" s="55"/>
    </row>
    <row r="704" spans="1:9" x14ac:dyDescent="0.3">
      <c r="A704" s="24"/>
      <c r="B704" s="72"/>
      <c r="C704" s="74"/>
      <c r="D704" s="50"/>
      <c r="E704" s="54"/>
      <c r="F704" s="25"/>
      <c r="G704" s="25"/>
      <c r="H704" s="39"/>
      <c r="I704" s="55"/>
    </row>
    <row r="705" spans="1:9" x14ac:dyDescent="0.3">
      <c r="A705" s="24"/>
      <c r="B705" s="72"/>
      <c r="C705" s="74"/>
      <c r="D705" s="50"/>
      <c r="E705" s="56"/>
      <c r="F705" s="25"/>
      <c r="G705" s="25"/>
      <c r="H705" s="39"/>
      <c r="I705" s="58"/>
    </row>
    <row r="706" spans="1:9" x14ac:dyDescent="0.3">
      <c r="A706" s="24"/>
      <c r="B706" s="72"/>
      <c r="C706" s="74"/>
      <c r="D706" s="50"/>
      <c r="E706" s="30"/>
      <c r="F706" s="25"/>
      <c r="G706" s="25"/>
      <c r="H706" s="39"/>
    </row>
    <row r="707" spans="1:9" x14ac:dyDescent="0.3">
      <c r="A707" s="24"/>
      <c r="B707" s="72"/>
      <c r="C707" s="74"/>
      <c r="D707" s="50"/>
      <c r="E707" s="54"/>
      <c r="F707" s="25"/>
      <c r="G707" s="25"/>
      <c r="H707" s="35"/>
      <c r="I707" s="55"/>
    </row>
    <row r="708" spans="1:9" x14ac:dyDescent="0.3">
      <c r="A708" s="24"/>
      <c r="B708" s="74"/>
      <c r="C708" s="74"/>
      <c r="D708" s="50"/>
      <c r="E708" s="54"/>
      <c r="F708" s="25"/>
      <c r="G708" s="25"/>
      <c r="H708" s="39"/>
      <c r="I708" s="55"/>
    </row>
    <row r="709" spans="1:9" x14ac:dyDescent="0.3">
      <c r="A709" s="24"/>
      <c r="B709" s="74"/>
      <c r="C709" s="74"/>
      <c r="D709" s="50"/>
      <c r="E709" s="54"/>
      <c r="F709" s="25"/>
      <c r="G709" s="25"/>
      <c r="H709" s="39"/>
      <c r="I709" s="55"/>
    </row>
    <row r="710" spans="1:9" x14ac:dyDescent="0.3">
      <c r="A710" s="24"/>
      <c r="B710" s="74"/>
      <c r="C710" s="74"/>
      <c r="D710" s="50"/>
      <c r="E710" s="56"/>
      <c r="F710" s="25"/>
      <c r="G710" s="25"/>
      <c r="H710" s="39"/>
      <c r="I710" s="58"/>
    </row>
    <row r="711" spans="1:9" x14ac:dyDescent="0.3">
      <c r="A711" s="24"/>
      <c r="B711" s="74"/>
      <c r="C711" s="74"/>
      <c r="D711" s="50"/>
      <c r="E711" s="30"/>
      <c r="F711" s="25"/>
      <c r="G711" s="25"/>
      <c r="H711" s="39"/>
    </row>
    <row r="712" spans="1:9" x14ac:dyDescent="0.3">
      <c r="A712" s="24"/>
      <c r="B712" s="74"/>
      <c r="C712" s="74"/>
      <c r="D712" s="50"/>
      <c r="E712" s="54"/>
      <c r="F712" s="25"/>
      <c r="G712" s="25"/>
      <c r="H712" s="35"/>
      <c r="I712" s="55"/>
    </row>
    <row r="713" spans="1:9" x14ac:dyDescent="0.3">
      <c r="A713" s="24"/>
      <c r="B713" s="74"/>
      <c r="C713" s="74"/>
      <c r="D713" s="50"/>
      <c r="E713" s="54"/>
      <c r="F713" s="25"/>
      <c r="G713" s="25"/>
      <c r="H713" s="39"/>
      <c r="I713" s="55"/>
    </row>
    <row r="714" spans="1:9" x14ac:dyDescent="0.3">
      <c r="A714" s="24"/>
      <c r="B714" s="74"/>
      <c r="C714" s="74"/>
      <c r="D714" s="50"/>
      <c r="E714" s="54"/>
      <c r="F714" s="25"/>
      <c r="G714" s="25"/>
      <c r="H714" s="39"/>
      <c r="I714" s="55"/>
    </row>
    <row r="715" spans="1:9" x14ac:dyDescent="0.3">
      <c r="A715" s="24"/>
      <c r="B715" s="74"/>
      <c r="C715" s="74"/>
      <c r="D715" s="50"/>
      <c r="E715" s="56"/>
      <c r="F715" s="25"/>
      <c r="G715" s="25"/>
      <c r="H715" s="39"/>
      <c r="I715" s="58"/>
    </row>
    <row r="716" spans="1:9" x14ac:dyDescent="0.3">
      <c r="A716" s="24"/>
      <c r="B716" s="74"/>
      <c r="C716" s="74"/>
      <c r="D716" s="50"/>
      <c r="E716" s="30"/>
      <c r="F716" s="25"/>
      <c r="G716" s="25"/>
      <c r="H716" s="39"/>
    </row>
    <row r="717" spans="1:9" x14ac:dyDescent="0.3">
      <c r="A717" s="24"/>
      <c r="B717" s="74"/>
      <c r="C717" s="74"/>
      <c r="D717" s="50"/>
      <c r="E717" s="54"/>
      <c r="F717" s="25"/>
      <c r="G717" s="25"/>
      <c r="H717" s="35"/>
      <c r="I717" s="55"/>
    </row>
    <row r="718" spans="1:9" x14ac:dyDescent="0.3">
      <c r="A718" s="24"/>
      <c r="B718" s="74"/>
      <c r="C718" s="74"/>
      <c r="D718" s="50"/>
      <c r="E718" s="54"/>
      <c r="F718" s="25"/>
      <c r="G718" s="25"/>
      <c r="H718" s="39"/>
      <c r="I718" s="55"/>
    </row>
    <row r="719" spans="1:9" x14ac:dyDescent="0.3">
      <c r="A719" s="24"/>
      <c r="B719" s="74"/>
      <c r="C719" s="74"/>
      <c r="D719" s="50"/>
      <c r="E719" s="54"/>
      <c r="F719" s="25"/>
      <c r="G719" s="25"/>
      <c r="H719" s="39"/>
      <c r="I719" s="55"/>
    </row>
    <row r="720" spans="1:9" x14ac:dyDescent="0.3">
      <c r="A720" s="24"/>
      <c r="B720" s="74"/>
      <c r="C720" s="74"/>
      <c r="D720" s="50"/>
      <c r="E720" s="56"/>
      <c r="F720" s="25"/>
      <c r="G720" s="25"/>
      <c r="H720" s="39"/>
      <c r="I720" s="58"/>
    </row>
    <row r="721" spans="1:9" x14ac:dyDescent="0.3">
      <c r="A721" s="24"/>
      <c r="B721" s="74"/>
      <c r="C721" s="74"/>
      <c r="D721" s="50"/>
      <c r="E721" s="30"/>
      <c r="F721" s="25"/>
      <c r="G721" s="25"/>
      <c r="H721" s="39"/>
    </row>
    <row r="722" spans="1:9" x14ac:dyDescent="0.3">
      <c r="A722" s="24"/>
      <c r="B722" s="74"/>
      <c r="C722" s="74"/>
      <c r="D722" s="50"/>
      <c r="E722" s="54"/>
      <c r="F722" s="25"/>
      <c r="G722" s="25"/>
      <c r="H722" s="35"/>
      <c r="I722" s="55"/>
    </row>
    <row r="723" spans="1:9" x14ac:dyDescent="0.3">
      <c r="A723" s="24"/>
      <c r="B723" s="74"/>
      <c r="C723" s="74"/>
      <c r="D723" s="50"/>
      <c r="E723" s="54"/>
      <c r="F723" s="25"/>
      <c r="G723" s="25"/>
      <c r="H723" s="39"/>
      <c r="I723" s="55"/>
    </row>
    <row r="724" spans="1:9" x14ac:dyDescent="0.3">
      <c r="A724" s="24"/>
      <c r="B724" s="74"/>
      <c r="C724" s="74"/>
      <c r="D724" s="50"/>
      <c r="E724" s="54"/>
      <c r="F724" s="25"/>
      <c r="G724" s="25"/>
      <c r="H724" s="39"/>
      <c r="I724" s="55"/>
    </row>
    <row r="725" spans="1:9" x14ac:dyDescent="0.3">
      <c r="A725" s="24"/>
      <c r="B725" s="74"/>
      <c r="C725" s="74"/>
      <c r="D725" s="50"/>
      <c r="E725" s="56"/>
      <c r="F725" s="25"/>
      <c r="G725" s="25"/>
      <c r="H725" s="39"/>
      <c r="I725" s="58"/>
    </row>
    <row r="726" spans="1:9" x14ac:dyDescent="0.3">
      <c r="A726" s="24"/>
      <c r="B726" s="74"/>
      <c r="C726" s="74"/>
      <c r="D726" s="50"/>
      <c r="E726" s="30"/>
      <c r="F726" s="25"/>
      <c r="G726" s="25"/>
      <c r="H726" s="39"/>
    </row>
    <row r="727" spans="1:9" x14ac:dyDescent="0.3">
      <c r="A727" s="24"/>
      <c r="B727" s="74"/>
      <c r="C727" s="74"/>
      <c r="D727" s="50"/>
      <c r="E727" s="54"/>
      <c r="F727" s="25"/>
      <c r="G727" s="25"/>
      <c r="H727" s="35"/>
      <c r="I727" s="55"/>
    </row>
    <row r="728" spans="1:9" x14ac:dyDescent="0.3">
      <c r="A728" s="24"/>
      <c r="B728" s="74"/>
      <c r="C728" s="74"/>
      <c r="D728" s="50"/>
      <c r="E728" s="54"/>
      <c r="F728" s="25"/>
      <c r="G728" s="25"/>
      <c r="H728" s="39"/>
      <c r="I728" s="55"/>
    </row>
    <row r="729" spans="1:9" x14ac:dyDescent="0.3">
      <c r="A729" s="24"/>
      <c r="B729" s="74"/>
      <c r="C729" s="74"/>
      <c r="D729" s="50"/>
      <c r="E729" s="54"/>
      <c r="F729" s="25"/>
      <c r="G729" s="25"/>
      <c r="H729" s="39"/>
      <c r="I729" s="55"/>
    </row>
    <row r="730" spans="1:9" x14ac:dyDescent="0.3">
      <c r="A730" s="24"/>
      <c r="B730" s="74"/>
      <c r="C730" s="74"/>
      <c r="D730" s="50"/>
      <c r="E730" s="56"/>
      <c r="F730" s="25"/>
      <c r="G730" s="25"/>
      <c r="H730" s="39"/>
      <c r="I730" s="58"/>
    </row>
    <row r="731" spans="1:9" x14ac:dyDescent="0.3">
      <c r="A731" s="24"/>
      <c r="B731" s="74"/>
      <c r="C731" s="74"/>
      <c r="D731" s="50"/>
      <c r="E731" s="30"/>
      <c r="F731" s="25"/>
      <c r="G731" s="25"/>
      <c r="H731" s="39"/>
    </row>
    <row r="732" spans="1:9" x14ac:dyDescent="0.3">
      <c r="A732" s="24"/>
      <c r="B732" s="74"/>
      <c r="C732" s="74"/>
      <c r="D732" s="50"/>
      <c r="E732" s="54"/>
      <c r="F732" s="25"/>
      <c r="G732" s="25"/>
      <c r="H732" s="35"/>
      <c r="I732" s="55"/>
    </row>
    <row r="733" spans="1:9" x14ac:dyDescent="0.3">
      <c r="A733" s="24"/>
      <c r="B733" s="74"/>
      <c r="C733" s="74"/>
      <c r="D733" s="50"/>
      <c r="E733" s="54"/>
      <c r="F733" s="25"/>
      <c r="G733" s="25"/>
      <c r="H733" s="39"/>
      <c r="I733" s="55"/>
    </row>
    <row r="734" spans="1:9" x14ac:dyDescent="0.3">
      <c r="A734" s="24"/>
      <c r="B734" s="74"/>
      <c r="C734" s="74"/>
      <c r="D734" s="50"/>
      <c r="E734" s="54"/>
      <c r="F734" s="25"/>
      <c r="G734" s="25"/>
      <c r="H734" s="39"/>
      <c r="I734" s="55"/>
    </row>
    <row r="735" spans="1:9" x14ac:dyDescent="0.3">
      <c r="A735" s="24"/>
      <c r="B735" s="74"/>
      <c r="C735" s="74"/>
      <c r="D735" s="50"/>
      <c r="E735" s="56"/>
      <c r="F735" s="25"/>
      <c r="G735" s="25"/>
      <c r="H735" s="39"/>
      <c r="I735" s="58"/>
    </row>
    <row r="736" spans="1:9" x14ac:dyDescent="0.3">
      <c r="A736" s="24"/>
      <c r="B736" s="74"/>
      <c r="C736" s="74"/>
      <c r="D736" s="50"/>
      <c r="E736" s="30"/>
      <c r="F736" s="25"/>
      <c r="G736" s="25"/>
      <c r="H736" s="39"/>
    </row>
    <row r="737" spans="1:9" x14ac:dyDescent="0.3">
      <c r="A737" s="24"/>
      <c r="B737" s="74"/>
      <c r="C737" s="74"/>
      <c r="D737" s="50"/>
      <c r="E737" s="54"/>
      <c r="F737" s="25"/>
      <c r="G737" s="25"/>
      <c r="H737" s="35"/>
      <c r="I737" s="55"/>
    </row>
    <row r="738" spans="1:9" x14ac:dyDescent="0.3">
      <c r="A738" s="24"/>
      <c r="B738" s="74"/>
      <c r="C738" s="74"/>
      <c r="D738" s="50"/>
      <c r="E738" s="54"/>
      <c r="F738" s="25"/>
      <c r="G738" s="25"/>
      <c r="H738" s="39"/>
      <c r="I738" s="55"/>
    </row>
    <row r="739" spans="1:9" x14ac:dyDescent="0.3">
      <c r="A739" s="24"/>
      <c r="B739" s="74"/>
      <c r="C739" s="74"/>
      <c r="D739" s="50"/>
      <c r="E739" s="54"/>
      <c r="F739" s="25"/>
      <c r="G739" s="25"/>
      <c r="H739" s="39"/>
      <c r="I739" s="55"/>
    </row>
    <row r="740" spans="1:9" x14ac:dyDescent="0.3">
      <c r="A740" s="24"/>
      <c r="B740" s="74"/>
      <c r="C740" s="74"/>
      <c r="D740" s="50"/>
      <c r="E740" s="56"/>
      <c r="F740" s="25"/>
      <c r="G740" s="25"/>
      <c r="H740" s="39"/>
      <c r="I740" s="58"/>
    </row>
    <row r="741" spans="1:9" x14ac:dyDescent="0.3">
      <c r="A741" s="24"/>
      <c r="B741" s="74"/>
      <c r="C741" s="74"/>
      <c r="D741" s="50"/>
      <c r="E741" s="30"/>
      <c r="F741" s="25"/>
      <c r="G741" s="25"/>
      <c r="H741" s="39"/>
    </row>
    <row r="742" spans="1:9" x14ac:dyDescent="0.3">
      <c r="A742" s="24"/>
      <c r="B742" s="74"/>
      <c r="C742" s="74"/>
      <c r="D742" s="50"/>
      <c r="E742" s="54"/>
      <c r="F742" s="25"/>
      <c r="G742" s="25"/>
      <c r="H742" s="35"/>
      <c r="I742" s="55"/>
    </row>
    <row r="743" spans="1:9" x14ac:dyDescent="0.3">
      <c r="A743" s="24"/>
      <c r="B743" s="74"/>
      <c r="C743" s="74"/>
      <c r="D743" s="50"/>
      <c r="E743" s="54"/>
      <c r="F743" s="25"/>
      <c r="G743" s="25"/>
      <c r="H743" s="39"/>
      <c r="I743" s="55"/>
    </row>
    <row r="744" spans="1:9" x14ac:dyDescent="0.3">
      <c r="A744" s="24"/>
      <c r="B744" s="74"/>
      <c r="C744" s="74"/>
      <c r="D744" s="50"/>
      <c r="E744" s="54"/>
      <c r="F744" s="25"/>
      <c r="G744" s="25"/>
      <c r="H744" s="39"/>
      <c r="I744" s="55"/>
    </row>
    <row r="745" spans="1:9" x14ac:dyDescent="0.3">
      <c r="A745" s="24"/>
      <c r="B745" s="74"/>
      <c r="C745" s="74"/>
      <c r="D745" s="50"/>
      <c r="E745" s="56"/>
      <c r="F745" s="25"/>
      <c r="G745" s="25"/>
      <c r="H745" s="39"/>
      <c r="I745" s="58"/>
    </row>
    <row r="746" spans="1:9" x14ac:dyDescent="0.3">
      <c r="A746" s="24"/>
      <c r="B746" s="74"/>
      <c r="C746" s="74"/>
      <c r="D746" s="50"/>
      <c r="E746" s="30"/>
      <c r="F746" s="25"/>
      <c r="G746" s="25"/>
      <c r="H746" s="39"/>
    </row>
    <row r="747" spans="1:9" x14ac:dyDescent="0.3">
      <c r="A747" s="24"/>
      <c r="B747" s="74"/>
      <c r="C747" s="74"/>
      <c r="D747" s="50"/>
      <c r="E747" s="54"/>
      <c r="F747" s="25"/>
      <c r="G747" s="25"/>
      <c r="H747" s="35"/>
      <c r="I747" s="55"/>
    </row>
    <row r="748" spans="1:9" x14ac:dyDescent="0.3">
      <c r="A748" s="24"/>
      <c r="B748" s="74"/>
      <c r="C748" s="74"/>
      <c r="D748" s="50"/>
      <c r="E748" s="54"/>
      <c r="F748" s="25"/>
      <c r="G748" s="25"/>
      <c r="H748" s="39"/>
      <c r="I748" s="55"/>
    </row>
    <row r="749" spans="1:9" x14ac:dyDescent="0.3">
      <c r="A749" s="24"/>
      <c r="B749" s="74"/>
      <c r="C749" s="74"/>
      <c r="D749" s="50"/>
      <c r="E749" s="54"/>
      <c r="F749" s="25"/>
      <c r="G749" s="25"/>
      <c r="H749" s="39"/>
      <c r="I749" s="55"/>
    </row>
    <row r="750" spans="1:9" x14ac:dyDescent="0.3">
      <c r="A750" s="24"/>
      <c r="B750" s="74"/>
      <c r="C750" s="74"/>
      <c r="D750" s="50"/>
      <c r="E750" s="56"/>
      <c r="F750" s="25"/>
      <c r="G750" s="25"/>
      <c r="H750" s="39"/>
      <c r="I750" s="58"/>
    </row>
    <row r="751" spans="1:9" x14ac:dyDescent="0.3">
      <c r="A751" s="24"/>
      <c r="B751" s="74"/>
      <c r="C751" s="74"/>
      <c r="D751" s="50"/>
      <c r="E751" s="30"/>
      <c r="F751" s="25"/>
      <c r="G751" s="25"/>
      <c r="H751" s="39"/>
    </row>
    <row r="752" spans="1:9" x14ac:dyDescent="0.3">
      <c r="A752" s="24"/>
      <c r="B752" s="74"/>
      <c r="C752" s="74"/>
      <c r="D752" s="50"/>
      <c r="E752" s="54"/>
      <c r="F752" s="25"/>
      <c r="G752" s="25"/>
      <c r="H752" s="35"/>
      <c r="I752" s="55"/>
    </row>
    <row r="753" spans="1:9" x14ac:dyDescent="0.3">
      <c r="A753" s="24"/>
      <c r="B753" s="74"/>
      <c r="C753" s="74"/>
      <c r="D753" s="50"/>
      <c r="E753" s="54"/>
      <c r="F753" s="25"/>
      <c r="G753" s="25"/>
      <c r="H753" s="39"/>
      <c r="I753" s="55"/>
    </row>
    <row r="754" spans="1:9" x14ac:dyDescent="0.3">
      <c r="A754" s="24"/>
      <c r="B754" s="74"/>
      <c r="C754" s="74"/>
      <c r="D754" s="50"/>
      <c r="E754" s="54"/>
      <c r="F754" s="25"/>
      <c r="G754" s="25"/>
      <c r="H754" s="39"/>
      <c r="I754" s="55"/>
    </row>
    <row r="755" spans="1:9" x14ac:dyDescent="0.3">
      <c r="A755" s="24"/>
      <c r="B755" s="74"/>
      <c r="C755" s="74"/>
      <c r="D755" s="50"/>
      <c r="E755" s="56"/>
      <c r="F755" s="25"/>
      <c r="G755" s="25"/>
      <c r="H755" s="39"/>
      <c r="I755" s="58"/>
    </row>
    <row r="756" spans="1:9" x14ac:dyDescent="0.3">
      <c r="A756" s="24"/>
      <c r="B756" s="74"/>
      <c r="C756" s="74"/>
      <c r="D756" s="50"/>
      <c r="E756" s="30"/>
      <c r="F756" s="25"/>
      <c r="G756" s="25"/>
      <c r="H756" s="39"/>
    </row>
    <row r="757" spans="1:9" x14ac:dyDescent="0.3">
      <c r="A757" s="24"/>
      <c r="B757" s="74"/>
      <c r="C757" s="74"/>
      <c r="D757" s="50"/>
      <c r="E757" s="54"/>
      <c r="F757" s="25"/>
      <c r="G757" s="25"/>
      <c r="H757" s="35"/>
      <c r="I757" s="55"/>
    </row>
    <row r="758" spans="1:9" x14ac:dyDescent="0.3">
      <c r="A758" s="24"/>
      <c r="B758" s="74"/>
      <c r="C758" s="74"/>
      <c r="D758" s="50"/>
      <c r="E758" s="54"/>
      <c r="F758" s="25"/>
      <c r="G758" s="25"/>
      <c r="H758" s="39"/>
      <c r="I758" s="55"/>
    </row>
    <row r="759" spans="1:9" x14ac:dyDescent="0.3">
      <c r="A759" s="24"/>
      <c r="B759" s="74"/>
      <c r="C759" s="74"/>
      <c r="D759" s="50"/>
      <c r="E759" s="54"/>
      <c r="F759" s="25"/>
      <c r="G759" s="25"/>
      <c r="H759" s="39"/>
      <c r="I759" s="55"/>
    </row>
    <row r="760" spans="1:9" x14ac:dyDescent="0.3">
      <c r="A760" s="24"/>
      <c r="B760" s="74"/>
      <c r="C760" s="74"/>
      <c r="D760" s="50"/>
      <c r="E760" s="56"/>
      <c r="F760" s="25"/>
      <c r="G760" s="25"/>
      <c r="H760" s="39"/>
      <c r="I760" s="58"/>
    </row>
    <row r="761" spans="1:9" x14ac:dyDescent="0.3">
      <c r="A761" s="24"/>
      <c r="B761" s="74"/>
      <c r="C761" s="74"/>
      <c r="D761" s="50"/>
      <c r="E761" s="30"/>
      <c r="F761" s="25"/>
      <c r="G761" s="25"/>
      <c r="H761" s="39"/>
    </row>
    <row r="762" spans="1:9" x14ac:dyDescent="0.3">
      <c r="A762" s="24"/>
      <c r="B762" s="74"/>
      <c r="C762" s="74"/>
      <c r="D762" s="50"/>
      <c r="E762" s="54"/>
      <c r="F762" s="25"/>
      <c r="G762" s="25"/>
      <c r="H762" s="35"/>
      <c r="I762" s="55"/>
    </row>
    <row r="763" spans="1:9" x14ac:dyDescent="0.3">
      <c r="A763" s="24"/>
      <c r="B763" s="74"/>
      <c r="C763" s="74"/>
      <c r="D763" s="50"/>
      <c r="E763" s="54"/>
      <c r="F763" s="25"/>
      <c r="G763" s="25"/>
      <c r="H763" s="39"/>
      <c r="I763" s="55"/>
    </row>
    <row r="764" spans="1:9" x14ac:dyDescent="0.3">
      <c r="A764" s="24"/>
      <c r="B764" s="74"/>
      <c r="C764" s="74"/>
      <c r="D764" s="50"/>
      <c r="E764" s="54"/>
      <c r="F764" s="25"/>
      <c r="G764" s="25"/>
      <c r="H764" s="39"/>
      <c r="I764" s="55"/>
    </row>
    <row r="765" spans="1:9" x14ac:dyDescent="0.3">
      <c r="A765" s="24"/>
      <c r="B765" s="74"/>
      <c r="C765" s="74"/>
      <c r="D765" s="50"/>
      <c r="E765" s="56"/>
      <c r="F765" s="25"/>
      <c r="G765" s="25"/>
      <c r="H765" s="39"/>
      <c r="I765" s="58"/>
    </row>
    <row r="766" spans="1:9" x14ac:dyDescent="0.3">
      <c r="A766" s="24"/>
      <c r="B766" s="74"/>
      <c r="C766" s="74"/>
      <c r="D766" s="50"/>
      <c r="E766" s="30"/>
      <c r="F766" s="25"/>
      <c r="G766" s="25"/>
      <c r="H766" s="39"/>
    </row>
    <row r="767" spans="1:9" x14ac:dyDescent="0.3">
      <c r="A767" s="24"/>
      <c r="B767" s="74"/>
      <c r="C767" s="74"/>
      <c r="D767" s="50"/>
      <c r="E767" s="54"/>
      <c r="F767" s="25"/>
      <c r="G767" s="25"/>
      <c r="H767" s="35"/>
      <c r="I767" s="55"/>
    </row>
    <row r="768" spans="1:9" x14ac:dyDescent="0.3">
      <c r="A768" s="24"/>
      <c r="B768" s="74"/>
      <c r="C768" s="74"/>
      <c r="D768" s="50"/>
      <c r="E768" s="54"/>
      <c r="F768" s="25"/>
      <c r="G768" s="25"/>
      <c r="H768" s="39"/>
      <c r="I768" s="55"/>
    </row>
    <row r="769" spans="1:9" x14ac:dyDescent="0.3">
      <c r="A769" s="24"/>
      <c r="B769" s="74"/>
      <c r="C769" s="74"/>
      <c r="D769" s="50"/>
      <c r="E769" s="54"/>
      <c r="F769" s="25"/>
      <c r="G769" s="25"/>
      <c r="H769" s="39"/>
      <c r="I769" s="55"/>
    </row>
    <row r="770" spans="1:9" x14ac:dyDescent="0.3">
      <c r="A770" s="24"/>
      <c r="B770" s="74"/>
      <c r="C770" s="74"/>
      <c r="D770" s="50"/>
      <c r="E770" s="56"/>
      <c r="F770" s="25"/>
      <c r="G770" s="25"/>
      <c r="H770" s="39"/>
      <c r="I770" s="58"/>
    </row>
    <row r="771" spans="1:9" x14ac:dyDescent="0.3">
      <c r="A771" s="24"/>
      <c r="B771" s="74"/>
      <c r="C771" s="74"/>
      <c r="D771" s="50"/>
      <c r="E771" s="30"/>
      <c r="F771" s="25"/>
      <c r="G771" s="25"/>
      <c r="H771" s="39"/>
    </row>
    <row r="772" spans="1:9" x14ac:dyDescent="0.3">
      <c r="A772" s="24"/>
      <c r="B772" s="74"/>
      <c r="C772" s="74"/>
      <c r="D772" s="50"/>
      <c r="E772" s="54"/>
      <c r="F772" s="25"/>
      <c r="G772" s="25"/>
      <c r="H772" s="35"/>
      <c r="I772" s="55"/>
    </row>
    <row r="773" spans="1:9" x14ac:dyDescent="0.3">
      <c r="A773" s="24"/>
      <c r="B773" s="74"/>
      <c r="C773" s="74"/>
      <c r="D773" s="50"/>
      <c r="E773" s="54"/>
      <c r="F773" s="25"/>
      <c r="G773" s="25"/>
      <c r="H773" s="39"/>
      <c r="I773" s="55"/>
    </row>
    <row r="774" spans="1:9" x14ac:dyDescent="0.3">
      <c r="A774" s="24"/>
      <c r="B774" s="74"/>
      <c r="C774" s="74"/>
      <c r="D774" s="50"/>
      <c r="E774" s="54"/>
      <c r="F774" s="25"/>
      <c r="G774" s="25"/>
      <c r="H774" s="39"/>
      <c r="I774" s="55"/>
    </row>
    <row r="775" spans="1:9" x14ac:dyDescent="0.3">
      <c r="A775" s="24"/>
      <c r="B775" s="74"/>
      <c r="C775" s="74"/>
      <c r="D775" s="50"/>
      <c r="E775" s="56"/>
      <c r="F775" s="25"/>
      <c r="G775" s="25"/>
      <c r="H775" s="39"/>
      <c r="I775" s="58"/>
    </row>
    <row r="776" spans="1:9" x14ac:dyDescent="0.3">
      <c r="A776" s="24"/>
      <c r="B776" s="74"/>
      <c r="C776" s="74"/>
      <c r="D776" s="50"/>
      <c r="E776" s="30"/>
      <c r="F776" s="25"/>
      <c r="G776" s="25"/>
      <c r="H776" s="39"/>
    </row>
    <row r="777" spans="1:9" x14ac:dyDescent="0.3">
      <c r="A777" s="24"/>
      <c r="B777" s="74"/>
      <c r="C777" s="74"/>
      <c r="D777" s="50"/>
      <c r="E777" s="54"/>
      <c r="F777" s="25"/>
      <c r="G777" s="25"/>
      <c r="H777" s="35"/>
      <c r="I777" s="55"/>
    </row>
    <row r="778" spans="1:9" x14ac:dyDescent="0.3">
      <c r="A778" s="24"/>
      <c r="B778" s="74"/>
      <c r="C778" s="74"/>
      <c r="D778" s="50"/>
      <c r="E778" s="54"/>
      <c r="F778" s="25"/>
      <c r="G778" s="25"/>
      <c r="H778" s="39"/>
      <c r="I778" s="55"/>
    </row>
    <row r="779" spans="1:9" x14ac:dyDescent="0.3">
      <c r="A779" s="24"/>
      <c r="B779" s="74"/>
      <c r="C779" s="74"/>
      <c r="D779" s="50"/>
      <c r="E779" s="54"/>
      <c r="F779" s="25"/>
      <c r="G779" s="25"/>
      <c r="H779" s="39"/>
      <c r="I779" s="55"/>
    </row>
    <row r="780" spans="1:9" x14ac:dyDescent="0.3">
      <c r="A780" s="24"/>
      <c r="B780" s="74"/>
      <c r="C780" s="74"/>
      <c r="D780" s="50"/>
      <c r="E780" s="56"/>
      <c r="F780" s="25"/>
      <c r="G780" s="25"/>
      <c r="H780" s="39"/>
      <c r="I780" s="58"/>
    </row>
    <row r="781" spans="1:9" x14ac:dyDescent="0.3">
      <c r="A781" s="24"/>
      <c r="B781" s="74"/>
      <c r="C781" s="74"/>
      <c r="D781" s="50"/>
      <c r="E781" s="30"/>
      <c r="F781" s="25"/>
      <c r="G781" s="25"/>
      <c r="H781" s="39"/>
    </row>
    <row r="782" spans="1:9" x14ac:dyDescent="0.3">
      <c r="A782" s="24"/>
      <c r="B782" s="74"/>
      <c r="C782" s="74"/>
      <c r="D782" s="50"/>
      <c r="E782" s="54"/>
      <c r="F782" s="25"/>
      <c r="G782" s="25"/>
      <c r="H782" s="35"/>
      <c r="I782" s="55"/>
    </row>
    <row r="783" spans="1:9" x14ac:dyDescent="0.3">
      <c r="A783" s="24"/>
      <c r="B783" s="74"/>
      <c r="C783" s="74"/>
      <c r="D783" s="50"/>
      <c r="E783" s="54"/>
      <c r="F783" s="25"/>
      <c r="G783" s="25"/>
      <c r="H783" s="39"/>
      <c r="I783" s="55"/>
    </row>
    <row r="784" spans="1:9" x14ac:dyDescent="0.3">
      <c r="A784" s="24"/>
      <c r="B784" s="74"/>
      <c r="C784" s="74"/>
      <c r="D784" s="50"/>
      <c r="E784" s="54"/>
      <c r="F784" s="25"/>
      <c r="G784" s="25"/>
      <c r="H784" s="39"/>
      <c r="I784" s="55"/>
    </row>
    <row r="785" spans="1:9" x14ac:dyDescent="0.3">
      <c r="A785" s="24"/>
      <c r="B785" s="74"/>
      <c r="C785" s="74"/>
      <c r="D785" s="50"/>
      <c r="E785" s="56"/>
      <c r="F785" s="25"/>
      <c r="G785" s="25"/>
      <c r="H785" s="39"/>
      <c r="I785" s="58"/>
    </row>
    <row r="786" spans="1:9" x14ac:dyDescent="0.3">
      <c r="A786" s="24"/>
      <c r="B786" s="74"/>
      <c r="C786" s="74"/>
      <c r="D786" s="50"/>
      <c r="E786" s="30"/>
      <c r="F786" s="25"/>
      <c r="G786" s="25"/>
      <c r="H786" s="39"/>
    </row>
    <row r="787" spans="1:9" x14ac:dyDescent="0.3">
      <c r="A787" s="24"/>
      <c r="B787" s="74"/>
      <c r="C787" s="74"/>
      <c r="D787" s="50"/>
      <c r="E787" s="54"/>
      <c r="F787" s="25"/>
      <c r="G787" s="25"/>
      <c r="H787" s="35"/>
      <c r="I787" s="55"/>
    </row>
    <row r="788" spans="1:9" x14ac:dyDescent="0.3">
      <c r="A788" s="24"/>
      <c r="B788" s="74"/>
      <c r="C788" s="74"/>
      <c r="D788" s="50"/>
      <c r="E788" s="54"/>
      <c r="F788" s="25"/>
      <c r="G788" s="25"/>
      <c r="H788" s="39"/>
      <c r="I788" s="55"/>
    </row>
    <row r="789" spans="1:9" x14ac:dyDescent="0.3">
      <c r="A789" s="24"/>
      <c r="B789" s="74"/>
      <c r="C789" s="74"/>
      <c r="D789" s="50"/>
      <c r="E789" s="54"/>
      <c r="F789" s="25"/>
      <c r="G789" s="25"/>
      <c r="H789" s="39"/>
      <c r="I789" s="55"/>
    </row>
    <row r="790" spans="1:9" x14ac:dyDescent="0.3">
      <c r="A790" s="24"/>
      <c r="B790" s="74"/>
      <c r="C790" s="74"/>
      <c r="D790" s="50"/>
      <c r="E790" s="56"/>
      <c r="F790" s="25"/>
      <c r="G790" s="25"/>
      <c r="H790" s="39"/>
      <c r="I790" s="58"/>
    </row>
    <row r="791" spans="1:9" x14ac:dyDescent="0.3">
      <c r="A791" s="24"/>
      <c r="B791" s="74"/>
      <c r="C791" s="74"/>
      <c r="D791" s="50"/>
      <c r="E791" s="30"/>
      <c r="F791" s="25"/>
      <c r="G791" s="25"/>
      <c r="H791" s="39"/>
    </row>
    <row r="792" spans="1:9" x14ac:dyDescent="0.3">
      <c r="A792" s="24"/>
      <c r="B792" s="74"/>
      <c r="C792" s="74"/>
      <c r="D792" s="50"/>
      <c r="E792" s="54"/>
      <c r="F792" s="25"/>
      <c r="G792" s="25"/>
      <c r="H792" s="35"/>
      <c r="I792" s="55"/>
    </row>
    <row r="793" spans="1:9" x14ac:dyDescent="0.3">
      <c r="A793" s="24"/>
      <c r="B793" s="74"/>
      <c r="C793" s="74"/>
      <c r="D793" s="50"/>
      <c r="E793" s="54"/>
      <c r="F793" s="25"/>
      <c r="G793" s="25"/>
      <c r="H793" s="39"/>
      <c r="I793" s="55"/>
    </row>
    <row r="794" spans="1:9" x14ac:dyDescent="0.3">
      <c r="A794" s="24"/>
      <c r="B794" s="74"/>
      <c r="C794" s="74"/>
      <c r="D794" s="50"/>
      <c r="E794" s="54"/>
      <c r="F794" s="25"/>
      <c r="G794" s="25"/>
      <c r="H794" s="39"/>
      <c r="I794" s="55"/>
    </row>
    <row r="795" spans="1:9" x14ac:dyDescent="0.3">
      <c r="A795" s="24"/>
      <c r="B795" s="74"/>
      <c r="C795" s="74"/>
      <c r="D795" s="50"/>
      <c r="E795" s="56"/>
      <c r="F795" s="25"/>
      <c r="G795" s="25"/>
      <c r="H795" s="39"/>
      <c r="I795" s="58"/>
    </row>
    <row r="796" spans="1:9" x14ac:dyDescent="0.3">
      <c r="A796" s="24"/>
      <c r="B796" s="74"/>
      <c r="C796" s="74"/>
      <c r="D796" s="50"/>
      <c r="E796" s="30"/>
      <c r="F796" s="25"/>
      <c r="G796" s="25"/>
      <c r="H796" s="39"/>
    </row>
    <row r="797" spans="1:9" x14ac:dyDescent="0.3">
      <c r="A797" s="24"/>
      <c r="B797" s="74"/>
      <c r="C797" s="74"/>
      <c r="D797" s="50"/>
      <c r="E797" s="54"/>
      <c r="F797" s="25"/>
      <c r="G797" s="25"/>
      <c r="H797" s="35"/>
      <c r="I797" s="55"/>
    </row>
    <row r="798" spans="1:9" x14ac:dyDescent="0.3">
      <c r="A798" s="24"/>
      <c r="B798" s="74"/>
      <c r="C798" s="74"/>
      <c r="D798" s="50"/>
      <c r="E798" s="54"/>
      <c r="F798" s="25"/>
      <c r="G798" s="25"/>
      <c r="H798" s="39"/>
      <c r="I798" s="55"/>
    </row>
    <row r="799" spans="1:9" x14ac:dyDescent="0.3">
      <c r="A799" s="24"/>
      <c r="B799" s="74"/>
      <c r="C799" s="74"/>
      <c r="D799" s="50"/>
      <c r="E799" s="54"/>
      <c r="F799" s="25"/>
      <c r="G799" s="25"/>
      <c r="H799" s="39"/>
      <c r="I799" s="55"/>
    </row>
    <row r="800" spans="1:9" x14ac:dyDescent="0.3">
      <c r="A800" s="24"/>
      <c r="B800" s="74"/>
      <c r="C800" s="74"/>
      <c r="D800" s="50"/>
      <c r="E800" s="56"/>
      <c r="F800" s="25"/>
      <c r="G800" s="25"/>
      <c r="H800" s="39"/>
      <c r="I800" s="58"/>
    </row>
    <row r="801" spans="1:9" x14ac:dyDescent="0.3">
      <c r="A801" s="24"/>
      <c r="B801" s="74"/>
      <c r="C801" s="74"/>
      <c r="D801" s="50"/>
      <c r="E801" s="30"/>
      <c r="F801" s="25"/>
      <c r="G801" s="25"/>
      <c r="H801" s="39"/>
    </row>
    <row r="802" spans="1:9" x14ac:dyDescent="0.3">
      <c r="A802" s="24"/>
      <c r="B802" s="74"/>
      <c r="C802" s="74"/>
      <c r="D802" s="50"/>
      <c r="E802" s="54"/>
      <c r="F802" s="25"/>
      <c r="G802" s="25"/>
      <c r="H802" s="35"/>
      <c r="I802" s="55"/>
    </row>
    <row r="803" spans="1:9" x14ac:dyDescent="0.3">
      <c r="A803" s="24"/>
      <c r="B803" s="74"/>
      <c r="C803" s="75"/>
      <c r="D803" s="50"/>
      <c r="E803" s="54"/>
      <c r="F803" s="25"/>
      <c r="G803" s="25"/>
      <c r="H803" s="39"/>
      <c r="I803" s="55"/>
    </row>
    <row r="804" spans="1:9" x14ac:dyDescent="0.3">
      <c r="A804" s="24"/>
      <c r="B804" s="74"/>
      <c r="C804" s="75"/>
      <c r="D804" s="50"/>
      <c r="E804" s="54"/>
      <c r="F804" s="25"/>
      <c r="G804" s="25"/>
      <c r="H804" s="39"/>
      <c r="I804" s="55"/>
    </row>
    <row r="805" spans="1:9" x14ac:dyDescent="0.3">
      <c r="A805" s="24"/>
      <c r="B805" s="74"/>
      <c r="C805" s="75"/>
      <c r="D805" s="50"/>
      <c r="E805" s="56"/>
      <c r="F805" s="25"/>
      <c r="G805" s="25"/>
      <c r="H805" s="39"/>
      <c r="I805" s="58"/>
    </row>
    <row r="806" spans="1:9" x14ac:dyDescent="0.3">
      <c r="A806" s="24"/>
      <c r="B806" s="74"/>
      <c r="C806" s="75"/>
      <c r="D806" s="50"/>
      <c r="E806" s="30"/>
      <c r="F806" s="25"/>
      <c r="G806" s="25"/>
      <c r="H806" s="39"/>
    </row>
    <row r="807" spans="1:9" x14ac:dyDescent="0.3">
      <c r="A807" s="24"/>
      <c r="B807" s="74"/>
      <c r="C807" s="75"/>
      <c r="D807" s="50"/>
      <c r="E807" s="54"/>
      <c r="F807" s="25"/>
      <c r="G807" s="25"/>
      <c r="H807" s="35"/>
      <c r="I807" s="55"/>
    </row>
    <row r="808" spans="1:9" x14ac:dyDescent="0.3">
      <c r="A808" s="24"/>
      <c r="B808" s="74"/>
      <c r="C808" s="74"/>
      <c r="D808" s="50"/>
      <c r="E808" s="54"/>
      <c r="F808" s="25"/>
      <c r="G808" s="25"/>
      <c r="H808" s="39"/>
      <c r="I808" s="55"/>
    </row>
    <row r="809" spans="1:9" x14ac:dyDescent="0.3">
      <c r="A809" s="24"/>
      <c r="B809" s="74"/>
      <c r="C809" s="74"/>
      <c r="D809" s="50"/>
      <c r="E809" s="54"/>
      <c r="F809" s="25"/>
      <c r="G809" s="25"/>
      <c r="H809" s="39"/>
      <c r="I809" s="55"/>
    </row>
    <row r="810" spans="1:9" x14ac:dyDescent="0.3">
      <c r="A810" s="24"/>
      <c r="B810" s="74"/>
      <c r="C810" s="74"/>
      <c r="D810" s="50"/>
      <c r="E810" s="56"/>
      <c r="F810" s="25"/>
      <c r="G810" s="25"/>
      <c r="H810" s="39"/>
      <c r="I810" s="58"/>
    </row>
    <row r="811" spans="1:9" x14ac:dyDescent="0.3">
      <c r="A811" s="24"/>
      <c r="B811" s="74"/>
      <c r="C811" s="74"/>
      <c r="D811" s="50"/>
      <c r="E811" s="30"/>
      <c r="F811" s="25"/>
      <c r="G811" s="25"/>
      <c r="H811" s="39"/>
    </row>
    <row r="812" spans="1:9" x14ac:dyDescent="0.3">
      <c r="A812" s="24"/>
      <c r="B812" s="74"/>
      <c r="C812" s="74"/>
      <c r="D812" s="50"/>
      <c r="E812" s="54"/>
      <c r="F812" s="25"/>
      <c r="G812" s="25"/>
      <c r="H812" s="35"/>
      <c r="I812" s="55"/>
    </row>
    <row r="813" spans="1:9" x14ac:dyDescent="0.3">
      <c r="A813" s="24"/>
      <c r="B813" s="74"/>
      <c r="C813" s="74"/>
      <c r="D813" s="50"/>
      <c r="E813" s="54"/>
      <c r="F813" s="25"/>
      <c r="G813" s="25"/>
      <c r="H813" s="39"/>
      <c r="I813" s="55"/>
    </row>
    <row r="814" spans="1:9" x14ac:dyDescent="0.3">
      <c r="A814" s="24"/>
      <c r="B814" s="74"/>
      <c r="C814" s="74"/>
      <c r="D814" s="50"/>
      <c r="E814" s="54"/>
      <c r="F814" s="25"/>
      <c r="G814" s="25"/>
      <c r="H814" s="39"/>
      <c r="I814" s="55"/>
    </row>
    <row r="815" spans="1:9" x14ac:dyDescent="0.3">
      <c r="A815" s="24"/>
      <c r="B815" s="74"/>
      <c r="C815" s="74"/>
      <c r="D815" s="50"/>
      <c r="E815" s="56"/>
      <c r="F815" s="25"/>
      <c r="G815" s="25"/>
      <c r="H815" s="39"/>
      <c r="I815" s="58"/>
    </row>
    <row r="816" spans="1:9" x14ac:dyDescent="0.3">
      <c r="A816" s="24"/>
      <c r="B816" s="74"/>
      <c r="C816" s="74"/>
      <c r="D816" s="50"/>
      <c r="E816" s="30"/>
      <c r="F816" s="25"/>
      <c r="G816" s="25"/>
      <c r="H816" s="39"/>
    </row>
    <row r="817" spans="1:9" x14ac:dyDescent="0.3">
      <c r="A817" s="24"/>
      <c r="B817" s="74"/>
      <c r="C817" s="74"/>
      <c r="D817" s="50"/>
      <c r="E817" s="54"/>
      <c r="F817" s="25"/>
      <c r="G817" s="25"/>
      <c r="H817" s="35"/>
      <c r="I817" s="55"/>
    </row>
    <row r="818" spans="1:9" x14ac:dyDescent="0.3">
      <c r="A818" s="24"/>
      <c r="B818" s="74"/>
      <c r="C818" s="74"/>
      <c r="D818" s="50"/>
      <c r="E818" s="54"/>
      <c r="F818" s="25"/>
      <c r="G818" s="25"/>
      <c r="H818" s="39"/>
      <c r="I818" s="55"/>
    </row>
    <row r="819" spans="1:9" x14ac:dyDescent="0.3">
      <c r="A819" s="24"/>
      <c r="B819" s="74"/>
      <c r="C819" s="74"/>
      <c r="D819" s="50"/>
      <c r="E819" s="54"/>
      <c r="F819" s="25"/>
      <c r="G819" s="25"/>
      <c r="H819" s="39"/>
      <c r="I819" s="55"/>
    </row>
    <row r="820" spans="1:9" x14ac:dyDescent="0.3">
      <c r="A820" s="24"/>
      <c r="B820" s="74"/>
      <c r="C820" s="74"/>
      <c r="D820" s="50"/>
      <c r="E820" s="56"/>
      <c r="F820" s="25"/>
      <c r="G820" s="25"/>
      <c r="H820" s="39"/>
      <c r="I820" s="58"/>
    </row>
    <row r="821" spans="1:9" x14ac:dyDescent="0.3">
      <c r="A821" s="24"/>
      <c r="B821" s="74"/>
      <c r="C821" s="74"/>
      <c r="D821" s="50"/>
      <c r="E821" s="30"/>
      <c r="F821" s="25"/>
      <c r="G821" s="25"/>
      <c r="H821" s="39"/>
    </row>
    <row r="822" spans="1:9" x14ac:dyDescent="0.3">
      <c r="A822" s="24"/>
      <c r="B822" s="74"/>
      <c r="C822" s="74"/>
      <c r="D822" s="50"/>
      <c r="E822" s="54"/>
      <c r="F822" s="25"/>
      <c r="G822" s="25"/>
      <c r="H822" s="35"/>
      <c r="I822" s="55"/>
    </row>
    <row r="823" spans="1:9" x14ac:dyDescent="0.3">
      <c r="A823" s="24"/>
      <c r="B823" s="74"/>
      <c r="C823" s="74"/>
      <c r="D823" s="50"/>
      <c r="E823" s="54"/>
      <c r="F823" s="25"/>
      <c r="G823" s="25"/>
      <c r="H823" s="39"/>
      <c r="I823" s="55"/>
    </row>
    <row r="824" spans="1:9" x14ac:dyDescent="0.3">
      <c r="A824" s="24"/>
      <c r="B824" s="74"/>
      <c r="C824" s="74"/>
      <c r="D824" s="50"/>
      <c r="E824" s="54"/>
      <c r="F824" s="25"/>
      <c r="G824" s="25"/>
      <c r="H824" s="39"/>
      <c r="I824" s="55"/>
    </row>
    <row r="825" spans="1:9" x14ac:dyDescent="0.3">
      <c r="A825" s="24"/>
      <c r="B825" s="74"/>
      <c r="C825" s="74"/>
      <c r="D825" s="50"/>
      <c r="E825" s="56"/>
      <c r="F825" s="25"/>
      <c r="G825" s="25"/>
      <c r="H825" s="39"/>
      <c r="I825" s="58"/>
    </row>
    <row r="826" spans="1:9" x14ac:dyDescent="0.3">
      <c r="A826" s="24"/>
      <c r="B826" s="74"/>
      <c r="C826" s="74"/>
      <c r="D826" s="50"/>
      <c r="E826" s="30"/>
      <c r="F826" s="25"/>
      <c r="G826" s="25"/>
      <c r="H826" s="39"/>
    </row>
    <row r="827" spans="1:9" x14ac:dyDescent="0.3">
      <c r="A827" s="24"/>
      <c r="B827" s="74"/>
      <c r="C827" s="74"/>
      <c r="D827" s="50"/>
      <c r="E827" s="54"/>
      <c r="F827" s="25"/>
      <c r="G827" s="25"/>
      <c r="H827" s="35"/>
      <c r="I827" s="55"/>
    </row>
    <row r="828" spans="1:9" x14ac:dyDescent="0.3">
      <c r="A828" s="24"/>
      <c r="B828" s="74"/>
      <c r="C828" s="74"/>
      <c r="D828" s="50"/>
      <c r="E828" s="54"/>
      <c r="F828" s="25"/>
      <c r="G828" s="25"/>
      <c r="H828" s="39"/>
      <c r="I828" s="55"/>
    </row>
    <row r="829" spans="1:9" x14ac:dyDescent="0.3">
      <c r="A829" s="24"/>
      <c r="B829" s="74"/>
      <c r="C829" s="74"/>
      <c r="D829" s="50"/>
      <c r="E829" s="54"/>
      <c r="F829" s="25"/>
      <c r="G829" s="25"/>
      <c r="H829" s="39"/>
      <c r="I829" s="55"/>
    </row>
    <row r="830" spans="1:9" x14ac:dyDescent="0.3">
      <c r="A830" s="24"/>
      <c r="B830" s="74"/>
      <c r="C830" s="74"/>
      <c r="D830" s="50"/>
      <c r="E830" s="56"/>
      <c r="F830" s="25"/>
      <c r="G830" s="25"/>
      <c r="H830" s="39"/>
      <c r="I830" s="58"/>
    </row>
    <row r="831" spans="1:9" x14ac:dyDescent="0.3">
      <c r="A831" s="24"/>
      <c r="B831" s="74"/>
      <c r="C831" s="74"/>
      <c r="D831" s="50"/>
      <c r="E831" s="30"/>
      <c r="F831" s="25"/>
      <c r="G831" s="25"/>
      <c r="H831" s="39"/>
    </row>
    <row r="832" spans="1:9" x14ac:dyDescent="0.3">
      <c r="A832" s="24"/>
      <c r="B832" s="74"/>
      <c r="C832" s="74"/>
      <c r="D832" s="50"/>
      <c r="E832" s="54"/>
      <c r="F832" s="25"/>
      <c r="G832" s="25"/>
      <c r="H832" s="35"/>
      <c r="I832" s="55"/>
    </row>
    <row r="833" spans="1:9" x14ac:dyDescent="0.3">
      <c r="A833" s="24"/>
      <c r="B833" s="74"/>
      <c r="C833" s="74"/>
      <c r="D833" s="50"/>
      <c r="E833" s="54"/>
      <c r="F833" s="25"/>
      <c r="G833" s="25"/>
      <c r="H833" s="39"/>
      <c r="I833" s="55"/>
    </row>
    <row r="834" spans="1:9" x14ac:dyDescent="0.3">
      <c r="A834" s="24"/>
      <c r="B834" s="74"/>
      <c r="C834" s="74"/>
      <c r="D834" s="50"/>
      <c r="E834" s="54"/>
      <c r="F834" s="25"/>
      <c r="G834" s="25"/>
      <c r="H834" s="39"/>
      <c r="I834" s="55"/>
    </row>
    <row r="835" spans="1:9" x14ac:dyDescent="0.3">
      <c r="A835" s="24"/>
      <c r="B835" s="74"/>
      <c r="C835" s="74"/>
      <c r="D835" s="50"/>
      <c r="E835" s="56"/>
      <c r="F835" s="25"/>
      <c r="G835" s="25"/>
      <c r="H835" s="39"/>
      <c r="I835" s="58"/>
    </row>
    <row r="836" spans="1:9" x14ac:dyDescent="0.3">
      <c r="A836" s="24"/>
      <c r="B836" s="74"/>
      <c r="C836" s="74"/>
      <c r="D836" s="50"/>
      <c r="E836" s="30"/>
      <c r="F836" s="25"/>
      <c r="G836" s="25"/>
      <c r="H836" s="39"/>
    </row>
    <row r="837" spans="1:9" x14ac:dyDescent="0.3">
      <c r="A837" s="24"/>
      <c r="B837" s="74"/>
      <c r="C837" s="74"/>
      <c r="D837" s="50"/>
      <c r="E837" s="54"/>
      <c r="F837" s="25"/>
      <c r="G837" s="25"/>
      <c r="H837" s="35"/>
      <c r="I837" s="55"/>
    </row>
    <row r="838" spans="1:9" x14ac:dyDescent="0.3">
      <c r="A838" s="24"/>
      <c r="B838" s="74"/>
      <c r="C838" s="74"/>
      <c r="D838" s="50"/>
      <c r="E838" s="54"/>
      <c r="F838" s="25"/>
      <c r="G838" s="25"/>
      <c r="H838" s="39"/>
      <c r="I838" s="55"/>
    </row>
    <row r="839" spans="1:9" x14ac:dyDescent="0.3">
      <c r="A839" s="24"/>
      <c r="B839" s="74"/>
      <c r="C839" s="74"/>
      <c r="D839" s="50"/>
      <c r="E839" s="54"/>
      <c r="F839" s="25"/>
      <c r="G839" s="25"/>
      <c r="H839" s="39"/>
      <c r="I839" s="55"/>
    </row>
    <row r="840" spans="1:9" x14ac:dyDescent="0.3">
      <c r="A840" s="24"/>
      <c r="B840" s="74"/>
      <c r="C840" s="74"/>
      <c r="D840" s="50"/>
      <c r="E840" s="56"/>
      <c r="F840" s="25"/>
      <c r="G840" s="25"/>
      <c r="H840" s="39"/>
      <c r="I840" s="58"/>
    </row>
    <row r="841" spans="1:9" x14ac:dyDescent="0.3">
      <c r="A841" s="24"/>
      <c r="B841" s="74"/>
      <c r="C841" s="74"/>
      <c r="D841" s="50"/>
      <c r="E841" s="30"/>
      <c r="F841" s="25"/>
      <c r="G841" s="25"/>
      <c r="H841" s="39"/>
    </row>
    <row r="842" spans="1:9" x14ac:dyDescent="0.3">
      <c r="A842" s="24"/>
      <c r="B842" s="74"/>
      <c r="C842" s="74"/>
      <c r="D842" s="50"/>
      <c r="E842" s="54"/>
      <c r="F842" s="25"/>
      <c r="G842" s="25"/>
      <c r="H842" s="35"/>
      <c r="I842" s="55"/>
    </row>
    <row r="843" spans="1:9" x14ac:dyDescent="0.3">
      <c r="A843" s="24"/>
      <c r="B843" s="24"/>
      <c r="C843" s="24"/>
      <c r="D843" s="50"/>
      <c r="E843" s="30"/>
      <c r="F843" s="39"/>
      <c r="G843" s="39"/>
      <c r="H843" s="35"/>
    </row>
    <row r="844" spans="1:9" x14ac:dyDescent="0.3">
      <c r="A844" s="24"/>
      <c r="B844" s="24"/>
      <c r="C844" s="24"/>
      <c r="D844" s="50"/>
      <c r="E844" s="30"/>
      <c r="F844" s="39"/>
      <c r="G844" s="39"/>
      <c r="H844" s="35"/>
    </row>
    <row r="845" spans="1:9" x14ac:dyDescent="0.3">
      <c r="A845" s="24"/>
      <c r="B845" s="24"/>
      <c r="C845" s="24"/>
      <c r="D845" s="50"/>
      <c r="E845" s="70"/>
      <c r="F845" s="39"/>
      <c r="G845" s="39"/>
      <c r="H845" s="35"/>
      <c r="I845" s="71"/>
    </row>
    <row r="846" spans="1:9" x14ac:dyDescent="0.3">
      <c r="A846" s="24"/>
      <c r="B846" s="24"/>
      <c r="C846" s="24"/>
      <c r="D846" s="50"/>
      <c r="E846" s="54"/>
      <c r="F846" s="39"/>
      <c r="G846" s="39"/>
      <c r="H846" s="35"/>
      <c r="I846" s="55"/>
    </row>
    <row r="847" spans="1:9" x14ac:dyDescent="0.3">
      <c r="A847" s="24"/>
      <c r="B847" s="24"/>
      <c r="C847" s="24"/>
      <c r="D847" s="50"/>
      <c r="E847" s="76"/>
      <c r="F847" s="52"/>
      <c r="G847" s="52"/>
      <c r="H847" s="77"/>
      <c r="I847" s="78"/>
    </row>
    <row r="848" spans="1:9" x14ac:dyDescent="0.3">
      <c r="A848" s="24"/>
      <c r="B848" s="24"/>
      <c r="C848" s="24"/>
      <c r="D848" s="50"/>
      <c r="E848" s="76"/>
      <c r="F848" s="52"/>
      <c r="G848" s="52"/>
      <c r="H848" s="77"/>
      <c r="I848" s="78"/>
    </row>
    <row r="849" spans="1:10" x14ac:dyDescent="0.3">
      <c r="A849" s="24"/>
      <c r="B849" s="24"/>
      <c r="C849" s="24"/>
      <c r="D849" s="50"/>
      <c r="E849" s="79"/>
      <c r="F849" s="61"/>
      <c r="G849" s="52"/>
      <c r="H849" s="77"/>
      <c r="I849" s="80"/>
      <c r="J849" s="38"/>
    </row>
    <row r="850" spans="1:10" x14ac:dyDescent="0.3">
      <c r="A850" s="24"/>
      <c r="B850" s="24"/>
      <c r="C850" s="24"/>
      <c r="D850" s="50"/>
      <c r="E850" s="81"/>
      <c r="F850" s="31"/>
      <c r="G850" s="52"/>
      <c r="H850" s="34"/>
      <c r="I850" s="82"/>
      <c r="J850" s="38"/>
    </row>
    <row r="851" spans="1:10" x14ac:dyDescent="0.3">
      <c r="A851" s="24"/>
      <c r="B851" s="24"/>
      <c r="C851" s="24"/>
      <c r="D851" s="50"/>
      <c r="E851" s="81"/>
      <c r="F851" s="31"/>
      <c r="G851" s="52"/>
      <c r="H851" s="34"/>
      <c r="I851" s="82"/>
      <c r="J851" s="38"/>
    </row>
    <row r="852" spans="1:10" x14ac:dyDescent="0.3">
      <c r="A852" s="24"/>
      <c r="B852" s="24"/>
      <c r="C852" s="24"/>
      <c r="D852" s="50"/>
      <c r="E852" s="81"/>
      <c r="F852" s="31"/>
      <c r="G852" s="52"/>
      <c r="H852" s="34"/>
      <c r="I852" s="82"/>
    </row>
    <row r="853" spans="1:10" x14ac:dyDescent="0.3">
      <c r="A853" s="24"/>
      <c r="B853" s="24"/>
      <c r="C853" s="24"/>
      <c r="D853" s="50"/>
      <c r="E853" s="81"/>
      <c r="F853" s="31"/>
      <c r="G853" s="52"/>
      <c r="H853" s="34"/>
      <c r="I853" s="82"/>
      <c r="J853" s="38"/>
    </row>
    <row r="854" spans="1:10" x14ac:dyDescent="0.3">
      <c r="A854" s="24"/>
      <c r="B854" s="24"/>
      <c r="C854" s="24"/>
      <c r="D854" s="50"/>
      <c r="E854" s="76"/>
      <c r="F854" s="52"/>
      <c r="G854" s="52"/>
      <c r="H854" s="77"/>
      <c r="I854" s="78"/>
    </row>
    <row r="855" spans="1:10" x14ac:dyDescent="0.3">
      <c r="A855" s="24"/>
      <c r="B855" s="24"/>
      <c r="C855" s="24"/>
      <c r="D855" s="50"/>
      <c r="E855" s="76"/>
      <c r="F855" s="52"/>
      <c r="G855" s="52"/>
      <c r="H855" s="77"/>
      <c r="I855" s="78"/>
    </row>
    <row r="856" spans="1:10" x14ac:dyDescent="0.3">
      <c r="A856" s="24"/>
      <c r="B856" s="24"/>
      <c r="C856" s="24"/>
      <c r="D856" s="50"/>
      <c r="E856" s="79"/>
      <c r="F856" s="61"/>
      <c r="G856" s="52"/>
      <c r="H856" s="77"/>
      <c r="I856" s="80"/>
    </row>
    <row r="857" spans="1:10" x14ac:dyDescent="0.3">
      <c r="A857" s="24"/>
      <c r="B857" s="24"/>
      <c r="C857" s="24"/>
      <c r="D857" s="50"/>
      <c r="E857" s="81"/>
      <c r="F857" s="31"/>
      <c r="G857" s="52"/>
      <c r="H857" s="34"/>
      <c r="I857" s="82"/>
    </row>
    <row r="858" spans="1:10" x14ac:dyDescent="0.3">
      <c r="A858" s="24"/>
      <c r="B858" s="24"/>
      <c r="C858" s="24"/>
      <c r="D858" s="50"/>
      <c r="E858" s="81"/>
      <c r="F858" s="31"/>
      <c r="G858" s="52"/>
      <c r="H858" s="34"/>
      <c r="I858" s="82"/>
    </row>
    <row r="859" spans="1:10" x14ac:dyDescent="0.3">
      <c r="A859" s="24"/>
      <c r="B859" s="24"/>
      <c r="C859" s="24"/>
      <c r="D859" s="50"/>
      <c r="E859" s="81"/>
      <c r="F859" s="31"/>
      <c r="G859" s="52"/>
      <c r="H859" s="34"/>
      <c r="I859" s="82"/>
    </row>
    <row r="860" spans="1:10" x14ac:dyDescent="0.3">
      <c r="A860" s="24"/>
      <c r="B860" s="24"/>
      <c r="C860" s="24"/>
      <c r="D860" s="50"/>
      <c r="E860" s="81"/>
      <c r="F860" s="31"/>
      <c r="G860" s="52"/>
      <c r="H860" s="34"/>
      <c r="I860" s="82"/>
    </row>
    <row r="861" spans="1:10" x14ac:dyDescent="0.3">
      <c r="A861" s="24"/>
      <c r="B861" s="24"/>
      <c r="C861" s="40"/>
      <c r="D861" s="50"/>
      <c r="E861" s="76"/>
      <c r="F861" s="52"/>
      <c r="G861" s="52"/>
      <c r="H861" s="77"/>
      <c r="I861" s="78"/>
    </row>
    <row r="862" spans="1:10" x14ac:dyDescent="0.3">
      <c r="A862" s="24"/>
      <c r="B862" s="24"/>
      <c r="C862" s="40"/>
      <c r="D862" s="50"/>
      <c r="E862" s="76"/>
      <c r="F862" s="52"/>
      <c r="G862" s="52"/>
      <c r="H862" s="77"/>
      <c r="I862" s="78"/>
    </row>
    <row r="863" spans="1:10" x14ac:dyDescent="0.3">
      <c r="A863" s="24"/>
      <c r="B863" s="24"/>
      <c r="C863" s="40"/>
      <c r="D863" s="50"/>
      <c r="E863" s="76"/>
      <c r="F863" s="52"/>
      <c r="G863" s="52"/>
      <c r="H863" s="77"/>
      <c r="I863" s="78"/>
    </row>
    <row r="864" spans="1:10" x14ac:dyDescent="0.3">
      <c r="A864" s="24"/>
      <c r="B864" s="24"/>
      <c r="C864" s="40"/>
      <c r="D864" s="50"/>
      <c r="E864" s="76"/>
      <c r="F864" s="52"/>
      <c r="G864" s="52"/>
      <c r="H864" s="77"/>
      <c r="I864" s="78"/>
    </row>
    <row r="865" spans="1:10" x14ac:dyDescent="0.3">
      <c r="A865" s="24"/>
      <c r="B865" s="24"/>
      <c r="C865" s="40"/>
      <c r="D865" s="50"/>
      <c r="E865" s="76"/>
      <c r="F865" s="52"/>
      <c r="G865" s="52"/>
      <c r="H865" s="77"/>
      <c r="I865" s="78"/>
    </row>
    <row r="866" spans="1:10" x14ac:dyDescent="0.3">
      <c r="A866" s="24"/>
      <c r="B866" s="24"/>
      <c r="C866" s="40"/>
      <c r="D866" s="50"/>
      <c r="E866" s="76"/>
      <c r="F866" s="52"/>
      <c r="G866" s="52"/>
      <c r="H866" s="77"/>
      <c r="I866" s="78"/>
    </row>
    <row r="867" spans="1:10" x14ac:dyDescent="0.3">
      <c r="A867" s="24"/>
      <c r="B867" s="24"/>
      <c r="C867" s="40"/>
      <c r="D867" s="50"/>
      <c r="E867" s="76"/>
      <c r="F867" s="52"/>
      <c r="G867" s="52"/>
      <c r="H867" s="77"/>
      <c r="I867" s="78"/>
    </row>
    <row r="868" spans="1:10" x14ac:dyDescent="0.3">
      <c r="A868" s="24"/>
      <c r="B868" s="24"/>
      <c r="C868" s="40"/>
      <c r="D868" s="50"/>
      <c r="E868" s="76"/>
      <c r="F868" s="52"/>
      <c r="G868" s="52"/>
      <c r="H868" s="77"/>
      <c r="I868" s="78"/>
    </row>
    <row r="869" spans="1:10" x14ac:dyDescent="0.3">
      <c r="A869" s="24"/>
      <c r="B869" s="24"/>
      <c r="C869" s="40"/>
      <c r="D869" s="50"/>
      <c r="E869" s="83"/>
      <c r="F869" s="52"/>
      <c r="G869" s="52"/>
      <c r="H869" s="84"/>
      <c r="I869" s="78"/>
    </row>
    <row r="870" spans="1:10" x14ac:dyDescent="0.3">
      <c r="A870" s="24"/>
      <c r="B870" s="24"/>
      <c r="C870" s="24"/>
      <c r="D870" s="50"/>
      <c r="E870" s="76"/>
      <c r="F870" s="52"/>
      <c r="G870" s="52"/>
      <c r="H870" s="77"/>
      <c r="I870" s="78"/>
      <c r="J870" s="85"/>
    </row>
    <row r="871" spans="1:10" x14ac:dyDescent="0.3">
      <c r="A871" s="24"/>
      <c r="B871" s="24"/>
      <c r="C871" s="24"/>
      <c r="D871" s="50"/>
      <c r="E871" s="76"/>
      <c r="F871" s="52"/>
      <c r="G871" s="52"/>
      <c r="H871" s="77"/>
      <c r="I871" s="78"/>
      <c r="J871" s="85"/>
    </row>
    <row r="872" spans="1:10" x14ac:dyDescent="0.3">
      <c r="A872" s="24"/>
      <c r="B872" s="24"/>
      <c r="C872" s="24"/>
      <c r="D872" s="50"/>
      <c r="E872" s="76"/>
      <c r="F872" s="52"/>
      <c r="G872" s="52"/>
      <c r="H872" s="77"/>
      <c r="I872" s="78"/>
      <c r="J872" s="85"/>
    </row>
    <row r="873" spans="1:10" x14ac:dyDescent="0.3">
      <c r="A873" s="24"/>
      <c r="B873" s="24"/>
      <c r="C873" s="24"/>
      <c r="D873" s="50"/>
      <c r="E873" s="76"/>
      <c r="F873" s="52"/>
      <c r="G873" s="52"/>
      <c r="H873" s="77"/>
      <c r="I873" s="78"/>
      <c r="J873" s="85"/>
    </row>
    <row r="874" spans="1:10" x14ac:dyDescent="0.3">
      <c r="A874" s="24"/>
      <c r="B874" s="24"/>
      <c r="C874" s="24"/>
      <c r="D874" s="50"/>
      <c r="E874" s="76"/>
      <c r="F874" s="52"/>
      <c r="G874" s="52"/>
      <c r="H874" s="77"/>
      <c r="I874" s="82"/>
    </row>
    <row r="875" spans="1:10" x14ac:dyDescent="0.3">
      <c r="A875" s="24"/>
      <c r="B875" s="24"/>
      <c r="C875" s="24"/>
      <c r="D875" s="50"/>
      <c r="E875" s="76"/>
      <c r="F875" s="52"/>
      <c r="G875" s="52"/>
      <c r="H875" s="77"/>
      <c r="I875" s="78"/>
      <c r="J875" s="38"/>
    </row>
    <row r="876" spans="1:10" x14ac:dyDescent="0.3">
      <c r="A876" s="24"/>
      <c r="B876" s="24"/>
      <c r="C876" s="24"/>
      <c r="D876" s="50"/>
      <c r="E876" s="76"/>
      <c r="F876" s="52"/>
      <c r="G876" s="52"/>
      <c r="H876" s="77"/>
      <c r="I876" s="78"/>
      <c r="J876" s="85"/>
    </row>
    <row r="877" spans="1:10" x14ac:dyDescent="0.3">
      <c r="A877" s="24"/>
      <c r="B877" s="24"/>
      <c r="C877" s="24"/>
      <c r="D877" s="50"/>
      <c r="E877" s="79"/>
      <c r="F877" s="52"/>
      <c r="G877" s="52"/>
      <c r="H877" s="77"/>
      <c r="I877" s="80"/>
      <c r="J877" s="85"/>
    </row>
    <row r="878" spans="1:10" x14ac:dyDescent="0.3">
      <c r="A878" s="24"/>
      <c r="B878" s="24"/>
      <c r="C878" s="24"/>
      <c r="E878" s="76"/>
      <c r="F878" s="52"/>
      <c r="G878" s="52"/>
      <c r="H878" s="77"/>
      <c r="I878" s="78"/>
    </row>
    <row r="879" spans="1:10" x14ac:dyDescent="0.3">
      <c r="A879" s="24"/>
      <c r="B879" s="24"/>
      <c r="C879" s="24"/>
      <c r="E879" s="76"/>
      <c r="F879" s="52"/>
      <c r="G879" s="52"/>
      <c r="H879" s="77"/>
      <c r="I879" s="78"/>
    </row>
    <row r="880" spans="1:10" x14ac:dyDescent="0.3">
      <c r="A880" s="24"/>
      <c r="B880" s="24"/>
      <c r="C880" s="24"/>
      <c r="E880" s="79"/>
      <c r="F880" s="61"/>
      <c r="G880" s="52"/>
      <c r="H880" s="77"/>
      <c r="I880" s="80"/>
    </row>
    <row r="881" spans="1:11" x14ac:dyDescent="0.3">
      <c r="A881" s="24"/>
      <c r="B881" s="24"/>
      <c r="C881" s="24"/>
      <c r="E881" s="76"/>
      <c r="F881" s="52"/>
      <c r="G881" s="52"/>
      <c r="H881" s="77"/>
      <c r="I881" s="78"/>
    </row>
    <row r="882" spans="1:11" x14ac:dyDescent="0.3">
      <c r="A882" s="24"/>
      <c r="B882" s="24"/>
      <c r="C882" s="24"/>
      <c r="E882" s="83"/>
      <c r="F882" s="61"/>
      <c r="G882" s="52"/>
      <c r="H882" s="31"/>
      <c r="I882" s="86"/>
    </row>
    <row r="883" spans="1:11" x14ac:dyDescent="0.3">
      <c r="A883" s="24"/>
      <c r="B883" s="24"/>
      <c r="C883" s="24"/>
      <c r="E883" s="83"/>
      <c r="F883" s="31"/>
      <c r="G883" s="52"/>
      <c r="H883" s="31"/>
      <c r="I883" s="86"/>
      <c r="J883" s="38"/>
    </row>
    <row r="884" spans="1:11" x14ac:dyDescent="0.3">
      <c r="A884" s="24"/>
      <c r="B884" s="24"/>
      <c r="C884" s="24"/>
      <c r="E884" s="83"/>
      <c r="F884" s="31"/>
      <c r="G884" s="52"/>
      <c r="H884" s="31"/>
      <c r="I884" s="86"/>
    </row>
    <row r="885" spans="1:11" x14ac:dyDescent="0.3">
      <c r="A885" s="24"/>
      <c r="B885" s="24"/>
      <c r="E885" s="76"/>
      <c r="F885" s="52"/>
      <c r="G885" s="52"/>
      <c r="H885" s="77"/>
      <c r="I885" s="78"/>
    </row>
    <row r="886" spans="1:11" x14ac:dyDescent="0.3">
      <c r="A886" s="24"/>
      <c r="B886" s="24"/>
      <c r="E886" s="79"/>
      <c r="F886" s="52"/>
      <c r="G886" s="52"/>
      <c r="H886" s="77"/>
      <c r="I886" s="80"/>
    </row>
    <row r="887" spans="1:11" x14ac:dyDescent="0.3">
      <c r="A887" s="24"/>
      <c r="B887" s="24"/>
      <c r="E887" s="79"/>
      <c r="F887" s="52"/>
      <c r="G887" s="52"/>
      <c r="H887" s="77"/>
      <c r="I887" s="80"/>
    </row>
    <row r="888" spans="1:11" x14ac:dyDescent="0.3">
      <c r="A888" s="24"/>
      <c r="B888" s="24"/>
      <c r="E888" s="79"/>
      <c r="F888" s="52"/>
      <c r="G888" s="52"/>
      <c r="H888" s="77"/>
      <c r="I888" s="80"/>
    </row>
    <row r="889" spans="1:11" x14ac:dyDescent="0.3">
      <c r="A889" s="24"/>
      <c r="B889" s="24"/>
      <c r="E889" s="83"/>
      <c r="F889" s="31"/>
      <c r="G889" s="52"/>
      <c r="H889" s="31"/>
      <c r="I889" s="86"/>
      <c r="J889" s="38"/>
      <c r="K889" s="38"/>
    </row>
    <row r="890" spans="1:11" x14ac:dyDescent="0.3">
      <c r="A890" s="24"/>
      <c r="B890" s="24"/>
      <c r="E890" s="83"/>
      <c r="F890" s="31"/>
      <c r="G890" s="52"/>
      <c r="H890" s="87"/>
      <c r="I890" s="86"/>
    </row>
    <row r="891" spans="1:11" x14ac:dyDescent="0.3">
      <c r="A891" s="24"/>
      <c r="B891" s="24"/>
      <c r="E891" s="83"/>
      <c r="F891" s="31"/>
      <c r="G891" s="52"/>
      <c r="H891" s="87"/>
      <c r="I891" s="86"/>
      <c r="J891" s="38"/>
      <c r="K891" s="38"/>
    </row>
    <row r="892" spans="1:11" x14ac:dyDescent="0.3">
      <c r="B892" s="24"/>
      <c r="C892" s="24"/>
      <c r="E892" s="76"/>
      <c r="F892" s="52"/>
      <c r="G892" s="52"/>
      <c r="H892" s="77"/>
      <c r="I892" s="78"/>
      <c r="J892" s="88"/>
    </row>
    <row r="893" spans="1:11" x14ac:dyDescent="0.3">
      <c r="B893" s="24"/>
      <c r="C893" s="24"/>
      <c r="E893" s="76"/>
      <c r="F893" s="52"/>
      <c r="G893" s="52"/>
      <c r="H893" s="77"/>
      <c r="I893" s="78"/>
      <c r="J893" s="88"/>
    </row>
    <row r="894" spans="1:11" x14ac:dyDescent="0.3">
      <c r="B894" s="24"/>
      <c r="C894" s="24"/>
      <c r="E894" s="76"/>
      <c r="F894" s="52"/>
      <c r="G894" s="52"/>
      <c r="H894" s="77"/>
      <c r="I894" s="78"/>
      <c r="J894" s="88"/>
    </row>
    <row r="895" spans="1:11" x14ac:dyDescent="0.3">
      <c r="B895" s="24"/>
      <c r="C895" s="24"/>
      <c r="E895" s="76"/>
      <c r="F895" s="52"/>
      <c r="G895" s="52"/>
      <c r="H895" s="77"/>
      <c r="I895" s="78"/>
      <c r="J895" s="88"/>
    </row>
    <row r="896" spans="1:11" x14ac:dyDescent="0.3">
      <c r="B896" s="24"/>
      <c r="C896" s="24"/>
      <c r="E896" s="76"/>
      <c r="F896" s="52"/>
      <c r="G896" s="52"/>
      <c r="H896" s="77"/>
      <c r="I896" s="78"/>
      <c r="J896" s="88"/>
    </row>
    <row r="897" spans="2:10" x14ac:dyDescent="0.3">
      <c r="B897" s="24"/>
      <c r="C897" s="24"/>
      <c r="E897" s="76"/>
      <c r="F897" s="52"/>
      <c r="G897" s="52"/>
      <c r="H897" s="77"/>
      <c r="I897" s="78"/>
      <c r="J897" s="88"/>
    </row>
    <row r="898" spans="2:10" x14ac:dyDescent="0.3">
      <c r="B898" s="24"/>
      <c r="C898" s="24"/>
      <c r="E898" s="76"/>
      <c r="F898" s="52"/>
      <c r="G898" s="52"/>
      <c r="H898" s="77"/>
      <c r="I898" s="78"/>
      <c r="J898" s="88"/>
    </row>
    <row r="899" spans="2:10" x14ac:dyDescent="0.3">
      <c r="B899" s="24"/>
      <c r="C899" s="24"/>
      <c r="E899" s="76"/>
      <c r="F899" s="52"/>
      <c r="G899" s="52"/>
      <c r="H899" s="77"/>
      <c r="I899" s="78"/>
      <c r="J899" s="88"/>
    </row>
    <row r="900" spans="2:10" x14ac:dyDescent="0.3">
      <c r="B900" s="24"/>
      <c r="C900" s="24"/>
      <c r="E900" s="76"/>
      <c r="F900" s="52"/>
      <c r="G900" s="52"/>
      <c r="H900" s="77"/>
      <c r="I900" s="78"/>
      <c r="J900" s="88"/>
    </row>
    <row r="901" spans="2:10" x14ac:dyDescent="0.3">
      <c r="B901" s="24"/>
      <c r="C901" s="24"/>
      <c r="E901" s="76"/>
      <c r="F901" s="52"/>
      <c r="G901" s="52"/>
      <c r="H901" s="77"/>
      <c r="I901" s="78"/>
      <c r="J901" s="88"/>
    </row>
    <row r="902" spans="2:10" x14ac:dyDescent="0.3">
      <c r="B902" s="24"/>
      <c r="C902" s="24"/>
      <c r="E902" s="76"/>
      <c r="F902" s="52"/>
      <c r="G902" s="52"/>
      <c r="H902" s="77"/>
      <c r="I902" s="78"/>
      <c r="J902" s="88"/>
    </row>
    <row r="903" spans="2:10" x14ac:dyDescent="0.3">
      <c r="B903" s="24"/>
      <c r="C903" s="24"/>
      <c r="E903" s="76"/>
      <c r="F903" s="52"/>
      <c r="G903" s="52"/>
      <c r="H903" s="77"/>
      <c r="I903" s="78"/>
      <c r="J903" s="88"/>
    </row>
    <row r="904" spans="2:10" x14ac:dyDescent="0.3">
      <c r="B904" s="24"/>
      <c r="C904" s="24"/>
      <c r="E904" s="76"/>
      <c r="F904" s="52"/>
      <c r="G904" s="52"/>
      <c r="H904" s="77"/>
      <c r="I904" s="78"/>
      <c r="J904" s="88"/>
    </row>
    <row r="905" spans="2:10" x14ac:dyDescent="0.3">
      <c r="B905" s="24"/>
      <c r="C905" s="24"/>
      <c r="E905" s="76"/>
      <c r="F905" s="52"/>
      <c r="G905" s="52"/>
      <c r="H905" s="77"/>
      <c r="I905" s="78"/>
      <c r="J905" s="88"/>
    </row>
    <row r="906" spans="2:10" x14ac:dyDescent="0.3">
      <c r="B906" s="24"/>
      <c r="C906" s="24"/>
      <c r="E906" s="76"/>
      <c r="F906" s="52"/>
      <c r="G906" s="52"/>
      <c r="H906" s="77"/>
      <c r="I906" s="78"/>
      <c r="J906" s="88"/>
    </row>
    <row r="907" spans="2:10" x14ac:dyDescent="0.3">
      <c r="B907" s="24"/>
      <c r="C907" s="24"/>
      <c r="E907" s="76"/>
      <c r="F907" s="52"/>
      <c r="G907" s="52"/>
      <c r="H907" s="77"/>
      <c r="I907" s="78"/>
      <c r="J907" s="88"/>
    </row>
    <row r="908" spans="2:10" x14ac:dyDescent="0.3">
      <c r="B908" s="24"/>
      <c r="C908" s="24"/>
      <c r="E908" s="76"/>
      <c r="F908" s="52"/>
      <c r="G908" s="52"/>
      <c r="H908" s="77"/>
      <c r="I908" s="78"/>
      <c r="J908" s="88"/>
    </row>
    <row r="909" spans="2:10" x14ac:dyDescent="0.3">
      <c r="B909" s="24"/>
      <c r="C909" s="24"/>
      <c r="E909" s="76"/>
      <c r="F909" s="52"/>
      <c r="G909" s="52"/>
      <c r="H909" s="77"/>
      <c r="I909" s="78"/>
      <c r="J909" s="88"/>
    </row>
    <row r="910" spans="2:10" x14ac:dyDescent="0.3">
      <c r="B910" s="24"/>
      <c r="C910" s="24"/>
      <c r="E910" s="76"/>
      <c r="F910" s="52"/>
      <c r="G910" s="52"/>
      <c r="H910" s="77"/>
      <c r="I910" s="78"/>
      <c r="J910" s="88"/>
    </row>
    <row r="911" spans="2:10" x14ac:dyDescent="0.3">
      <c r="B911" s="24"/>
      <c r="C911" s="24"/>
      <c r="E911" s="76"/>
      <c r="F911" s="52"/>
      <c r="G911" s="52"/>
      <c r="H911" s="77"/>
      <c r="I911" s="78"/>
      <c r="J911" s="88"/>
    </row>
    <row r="912" spans="2:10" x14ac:dyDescent="0.3">
      <c r="B912" s="24"/>
      <c r="C912" s="24"/>
      <c r="E912" s="76"/>
      <c r="F912" s="52"/>
      <c r="G912" s="52"/>
      <c r="H912" s="77"/>
      <c r="I912" s="78"/>
      <c r="J912" s="88"/>
    </row>
    <row r="913" spans="2:10" x14ac:dyDescent="0.3">
      <c r="B913" s="24"/>
      <c r="C913" s="24"/>
      <c r="E913" s="76"/>
      <c r="F913" s="52"/>
      <c r="G913" s="52"/>
      <c r="H913" s="77"/>
      <c r="I913" s="78"/>
      <c r="J913" s="88"/>
    </row>
    <row r="914" spans="2:10" x14ac:dyDescent="0.3">
      <c r="B914" s="24"/>
      <c r="C914" s="24"/>
      <c r="E914" s="76"/>
      <c r="F914" s="52"/>
      <c r="G914" s="52"/>
      <c r="H914" s="77"/>
      <c r="I914" s="78"/>
      <c r="J914" s="88"/>
    </row>
    <row r="915" spans="2:10" x14ac:dyDescent="0.3">
      <c r="B915" s="24"/>
      <c r="C915" s="24"/>
      <c r="E915" s="76"/>
      <c r="F915" s="52"/>
      <c r="G915" s="52"/>
      <c r="H915" s="77"/>
      <c r="I915" s="78"/>
      <c r="J915" s="88"/>
    </row>
    <row r="916" spans="2:10" x14ac:dyDescent="0.3">
      <c r="B916" s="24"/>
      <c r="C916" s="24"/>
      <c r="E916" s="76"/>
      <c r="F916" s="52"/>
      <c r="G916" s="52"/>
      <c r="H916" s="77"/>
      <c r="I916" s="78"/>
      <c r="J916" s="88"/>
    </row>
    <row r="917" spans="2:10" x14ac:dyDescent="0.3">
      <c r="B917" s="24"/>
      <c r="C917" s="24"/>
      <c r="E917" s="76"/>
      <c r="F917" s="52"/>
      <c r="G917" s="52"/>
      <c r="H917" s="77"/>
      <c r="I917" s="78"/>
      <c r="J917" s="88"/>
    </row>
    <row r="918" spans="2:10" x14ac:dyDescent="0.3">
      <c r="B918" s="24"/>
      <c r="C918" s="24"/>
      <c r="E918" s="76"/>
      <c r="F918" s="52"/>
      <c r="G918" s="52"/>
      <c r="H918" s="77"/>
      <c r="I918" s="78"/>
      <c r="J918" s="88"/>
    </row>
    <row r="919" spans="2:10" x14ac:dyDescent="0.3">
      <c r="B919" s="24"/>
      <c r="C919" s="24"/>
      <c r="E919" s="76"/>
      <c r="F919" s="52"/>
      <c r="G919" s="52"/>
      <c r="H919" s="77"/>
      <c r="I919" s="78"/>
      <c r="J919" s="88"/>
    </row>
    <row r="920" spans="2:10" x14ac:dyDescent="0.3">
      <c r="B920" s="24"/>
      <c r="C920" s="24"/>
      <c r="E920" s="76"/>
      <c r="F920" s="52"/>
      <c r="G920" s="52"/>
      <c r="H920" s="77"/>
      <c r="I920" s="78"/>
      <c r="J920" s="88"/>
    </row>
    <row r="921" spans="2:10" x14ac:dyDescent="0.3">
      <c r="B921" s="24"/>
      <c r="C921" s="24"/>
      <c r="E921" s="76"/>
      <c r="F921" s="52"/>
      <c r="G921" s="52"/>
      <c r="H921" s="77"/>
      <c r="I921" s="78"/>
      <c r="J921" s="88"/>
    </row>
    <row r="922" spans="2:10" x14ac:dyDescent="0.3">
      <c r="B922" s="24"/>
      <c r="C922" s="24"/>
      <c r="E922" s="76"/>
      <c r="F922" s="52"/>
      <c r="G922" s="52"/>
      <c r="H922" s="77"/>
      <c r="I922" s="78"/>
      <c r="J922" s="88"/>
    </row>
    <row r="923" spans="2:10" x14ac:dyDescent="0.3">
      <c r="B923" s="24"/>
      <c r="C923" s="24"/>
      <c r="E923" s="76"/>
      <c r="F923" s="52"/>
      <c r="G923" s="52"/>
      <c r="H923" s="77"/>
      <c r="I923" s="78"/>
      <c r="J923" s="88"/>
    </row>
    <row r="924" spans="2:10" x14ac:dyDescent="0.3">
      <c r="B924" s="24"/>
      <c r="C924" s="24"/>
      <c r="E924" s="76"/>
      <c r="F924" s="52"/>
      <c r="G924" s="52"/>
      <c r="H924" s="77"/>
      <c r="I924" s="78"/>
      <c r="J924" s="88"/>
    </row>
    <row r="925" spans="2:10" x14ac:dyDescent="0.3">
      <c r="B925" s="24"/>
      <c r="C925" s="24"/>
      <c r="E925" s="76"/>
      <c r="F925" s="52"/>
      <c r="G925" s="52"/>
      <c r="H925" s="77"/>
      <c r="I925" s="78"/>
      <c r="J925" s="88"/>
    </row>
    <row r="926" spans="2:10" x14ac:dyDescent="0.3">
      <c r="B926" s="24"/>
      <c r="C926" s="24"/>
      <c r="E926" s="76"/>
      <c r="F926" s="52"/>
      <c r="G926" s="52"/>
      <c r="H926" s="77"/>
      <c r="I926" s="78"/>
      <c r="J926" s="88"/>
    </row>
    <row r="927" spans="2:10" x14ac:dyDescent="0.3">
      <c r="B927" s="24"/>
      <c r="C927" s="24"/>
      <c r="E927" s="76"/>
      <c r="F927" s="52"/>
      <c r="G927" s="52"/>
      <c r="H927" s="77"/>
      <c r="I927" s="78"/>
      <c r="J927" s="88"/>
    </row>
    <row r="928" spans="2:10" x14ac:dyDescent="0.3">
      <c r="B928" s="24"/>
      <c r="C928" s="24"/>
      <c r="E928" s="76"/>
      <c r="F928" s="52"/>
      <c r="G928" s="52"/>
      <c r="H928" s="77"/>
      <c r="I928" s="78"/>
      <c r="J928" s="88"/>
    </row>
    <row r="929" spans="2:10" x14ac:dyDescent="0.3">
      <c r="B929" s="24"/>
      <c r="C929" s="24"/>
      <c r="E929" s="76"/>
      <c r="F929" s="52"/>
      <c r="G929" s="52"/>
      <c r="H929" s="77"/>
      <c r="I929" s="78"/>
      <c r="J929" s="88"/>
    </row>
    <row r="930" spans="2:10" x14ac:dyDescent="0.3">
      <c r="B930" s="24"/>
      <c r="C930" s="24"/>
      <c r="E930" s="76"/>
      <c r="F930" s="52"/>
      <c r="G930" s="52"/>
      <c r="H930" s="77"/>
      <c r="I930" s="78"/>
      <c r="J930" s="88"/>
    </row>
    <row r="931" spans="2:10" x14ac:dyDescent="0.3">
      <c r="B931" s="24"/>
      <c r="C931" s="24"/>
      <c r="E931" s="76"/>
      <c r="F931" s="52"/>
      <c r="G931" s="52"/>
      <c r="H931" s="77"/>
      <c r="I931" s="78"/>
      <c r="J931" s="88"/>
    </row>
    <row r="932" spans="2:10" x14ac:dyDescent="0.3">
      <c r="B932" s="24"/>
      <c r="C932" s="24"/>
      <c r="E932" s="76"/>
      <c r="F932" s="52"/>
      <c r="G932" s="52"/>
      <c r="H932" s="77"/>
      <c r="I932" s="78"/>
      <c r="J932" s="88"/>
    </row>
    <row r="933" spans="2:10" x14ac:dyDescent="0.3">
      <c r="B933" s="24"/>
      <c r="C933" s="24"/>
      <c r="E933" s="76"/>
      <c r="F933" s="52"/>
      <c r="G933" s="52"/>
      <c r="H933" s="77"/>
      <c r="I933" s="78"/>
      <c r="J933" s="88"/>
    </row>
    <row r="934" spans="2:10" x14ac:dyDescent="0.3">
      <c r="B934" s="24"/>
      <c r="C934" s="24"/>
      <c r="E934" s="76"/>
      <c r="F934" s="52"/>
      <c r="G934" s="52"/>
      <c r="H934" s="77"/>
      <c r="I934" s="78"/>
      <c r="J934" s="88"/>
    </row>
    <row r="935" spans="2:10" x14ac:dyDescent="0.3">
      <c r="B935" s="24"/>
      <c r="C935" s="24"/>
      <c r="E935" s="76"/>
      <c r="F935" s="52"/>
      <c r="G935" s="52"/>
      <c r="H935" s="77"/>
      <c r="I935" s="78"/>
      <c r="J935" s="88"/>
    </row>
    <row r="936" spans="2:10" x14ac:dyDescent="0.3">
      <c r="B936" s="24"/>
      <c r="C936" s="24"/>
      <c r="E936" s="76"/>
      <c r="F936" s="52"/>
      <c r="G936" s="52"/>
      <c r="H936" s="77"/>
      <c r="I936" s="78"/>
      <c r="J936" s="88"/>
    </row>
    <row r="937" spans="2:10" x14ac:dyDescent="0.3">
      <c r="B937" s="24"/>
      <c r="C937" s="24"/>
      <c r="E937" s="76"/>
      <c r="F937" s="52"/>
      <c r="G937" s="52"/>
      <c r="H937" s="77"/>
      <c r="I937" s="78"/>
      <c r="J937" s="88"/>
    </row>
    <row r="938" spans="2:10" x14ac:dyDescent="0.3">
      <c r="B938" s="24"/>
      <c r="C938" s="24"/>
      <c r="E938" s="76"/>
      <c r="F938" s="52"/>
      <c r="G938" s="52"/>
      <c r="H938" s="77"/>
      <c r="I938" s="78"/>
      <c r="J938" s="88"/>
    </row>
    <row r="939" spans="2:10" x14ac:dyDescent="0.3">
      <c r="B939" s="24"/>
      <c r="C939" s="24"/>
      <c r="E939" s="76"/>
      <c r="F939" s="52"/>
      <c r="G939" s="52"/>
      <c r="H939" s="77"/>
      <c r="I939" s="78"/>
      <c r="J939" s="88"/>
    </row>
    <row r="940" spans="2:10" x14ac:dyDescent="0.3">
      <c r="B940" s="24"/>
      <c r="C940" s="24"/>
      <c r="E940" s="76"/>
      <c r="F940" s="52"/>
      <c r="G940" s="52"/>
      <c r="H940" s="77"/>
      <c r="I940" s="78"/>
      <c r="J940" s="88"/>
    </row>
    <row r="941" spans="2:10" x14ac:dyDescent="0.3">
      <c r="B941" s="24"/>
      <c r="C941" s="24"/>
      <c r="E941" s="76"/>
      <c r="F941" s="52"/>
      <c r="G941" s="52"/>
      <c r="H941" s="77"/>
      <c r="I941" s="82"/>
      <c r="J941" s="88"/>
    </row>
    <row r="942" spans="2:10" x14ac:dyDescent="0.3">
      <c r="B942" s="24"/>
      <c r="C942" s="24"/>
      <c r="E942" s="76"/>
      <c r="F942" s="52"/>
      <c r="G942" s="52"/>
      <c r="H942" s="77"/>
      <c r="I942" s="78"/>
      <c r="J942" s="88"/>
    </row>
    <row r="943" spans="2:10" x14ac:dyDescent="0.3">
      <c r="B943" s="24"/>
      <c r="C943" s="24"/>
      <c r="E943" s="76"/>
      <c r="F943" s="52"/>
      <c r="G943" s="52"/>
      <c r="H943" s="77"/>
      <c r="I943" s="78"/>
      <c r="J943" s="88"/>
    </row>
    <row r="944" spans="2:10" x14ac:dyDescent="0.3">
      <c r="B944" s="24"/>
      <c r="C944" s="24"/>
      <c r="E944" s="76"/>
      <c r="F944" s="52"/>
      <c r="G944" s="52"/>
      <c r="H944" s="77"/>
      <c r="I944" s="78"/>
      <c r="J944" s="88"/>
    </row>
    <row r="945" spans="2:10" x14ac:dyDescent="0.3">
      <c r="B945" s="24"/>
      <c r="C945" s="24"/>
      <c r="E945" s="76"/>
      <c r="F945" s="52"/>
      <c r="G945" s="52"/>
      <c r="H945" s="77"/>
      <c r="I945" s="82"/>
      <c r="J945" s="88"/>
    </row>
    <row r="946" spans="2:10" x14ac:dyDescent="0.3">
      <c r="B946" s="24"/>
      <c r="C946" s="24"/>
      <c r="E946" s="76"/>
      <c r="F946" s="52"/>
      <c r="G946" s="52"/>
      <c r="H946" s="77"/>
      <c r="I946" s="78"/>
      <c r="J946" s="88"/>
    </row>
    <row r="947" spans="2:10" x14ac:dyDescent="0.3">
      <c r="B947" s="24"/>
      <c r="C947" s="24"/>
      <c r="E947" s="76"/>
      <c r="F947" s="52"/>
      <c r="G947" s="52"/>
      <c r="H947" s="77"/>
      <c r="I947" s="82"/>
      <c r="J947" s="88"/>
    </row>
    <row r="948" spans="2:10" x14ac:dyDescent="0.3">
      <c r="B948" s="24"/>
      <c r="C948" s="24"/>
      <c r="E948" s="76"/>
      <c r="F948" s="52"/>
      <c r="G948" s="52"/>
      <c r="H948" s="77"/>
      <c r="I948" s="78"/>
      <c r="J948" s="88"/>
    </row>
    <row r="949" spans="2:10" x14ac:dyDescent="0.3">
      <c r="B949" s="24"/>
      <c r="C949" s="24"/>
      <c r="E949" s="76"/>
      <c r="F949" s="52"/>
      <c r="G949" s="52"/>
      <c r="H949" s="77"/>
      <c r="I949" s="78"/>
      <c r="J949" s="88"/>
    </row>
    <row r="950" spans="2:10" x14ac:dyDescent="0.3">
      <c r="B950" s="24"/>
      <c r="C950" s="24"/>
      <c r="E950" s="76"/>
      <c r="F950" s="52"/>
      <c r="G950" s="52"/>
      <c r="H950" s="77"/>
      <c r="I950" s="78"/>
      <c r="J950" s="88"/>
    </row>
    <row r="951" spans="2:10" x14ac:dyDescent="0.3">
      <c r="B951" s="24"/>
      <c r="C951" s="24"/>
      <c r="E951" s="76"/>
      <c r="F951" s="52"/>
      <c r="G951" s="52"/>
      <c r="H951" s="77"/>
      <c r="I951" s="82"/>
      <c r="J951" s="88"/>
    </row>
    <row r="952" spans="2:10" x14ac:dyDescent="0.3">
      <c r="B952" s="24"/>
      <c r="C952" s="24"/>
      <c r="E952" s="76"/>
      <c r="F952" s="52"/>
      <c r="G952" s="52"/>
      <c r="H952" s="77"/>
      <c r="I952" s="78"/>
      <c r="J952" s="88"/>
    </row>
    <row r="953" spans="2:10" x14ac:dyDescent="0.3">
      <c r="B953" s="24"/>
      <c r="C953" s="24"/>
      <c r="E953" s="76"/>
      <c r="F953" s="52"/>
      <c r="G953" s="52"/>
      <c r="H953" s="77"/>
      <c r="I953" s="82"/>
      <c r="J953" s="88"/>
    </row>
    <row r="954" spans="2:10" x14ac:dyDescent="0.3">
      <c r="B954" s="24"/>
      <c r="C954" s="24"/>
      <c r="E954" s="76"/>
      <c r="F954" s="52"/>
      <c r="G954" s="52"/>
      <c r="H954" s="77"/>
      <c r="I954" s="78"/>
      <c r="J954" s="88"/>
    </row>
    <row r="955" spans="2:10" x14ac:dyDescent="0.3">
      <c r="B955" s="24"/>
      <c r="C955" s="24"/>
      <c r="E955" s="76"/>
      <c r="F955" s="52"/>
      <c r="G955" s="52"/>
      <c r="H955" s="77"/>
      <c r="I955" s="78"/>
      <c r="J955" s="88"/>
    </row>
    <row r="956" spans="2:10" x14ac:dyDescent="0.3">
      <c r="B956" s="24"/>
      <c r="C956" s="24"/>
      <c r="E956" s="76"/>
      <c r="F956" s="52"/>
      <c r="G956" s="52"/>
      <c r="H956" s="77"/>
      <c r="I956" s="78"/>
      <c r="J956" s="88"/>
    </row>
    <row r="957" spans="2:10" x14ac:dyDescent="0.3">
      <c r="B957" s="24"/>
      <c r="C957" s="24"/>
      <c r="E957" s="76"/>
      <c r="F957" s="52"/>
      <c r="G957" s="52"/>
      <c r="H957" s="77"/>
      <c r="I957" s="82"/>
      <c r="J957" s="88"/>
    </row>
    <row r="958" spans="2:10" x14ac:dyDescent="0.3">
      <c r="B958" s="24"/>
      <c r="C958" s="24"/>
      <c r="E958" s="76"/>
      <c r="F958" s="52"/>
      <c r="G958" s="52"/>
      <c r="H958" s="77"/>
      <c r="I958" s="78"/>
      <c r="J958" s="88"/>
    </row>
    <row r="959" spans="2:10" x14ac:dyDescent="0.3">
      <c r="B959" s="24"/>
      <c r="C959" s="24"/>
      <c r="E959" s="76"/>
      <c r="F959" s="52"/>
      <c r="G959" s="52"/>
      <c r="H959" s="77"/>
      <c r="I959" s="82"/>
      <c r="J959" s="88"/>
    </row>
    <row r="960" spans="2:10" x14ac:dyDescent="0.3">
      <c r="B960" s="24"/>
      <c r="C960" s="24"/>
      <c r="E960" s="76"/>
      <c r="F960" s="52"/>
      <c r="G960" s="52"/>
      <c r="H960" s="77"/>
      <c r="I960" s="78"/>
      <c r="J960" s="88"/>
    </row>
    <row r="961" spans="2:10" x14ac:dyDescent="0.3">
      <c r="B961" s="24"/>
      <c r="C961" s="24"/>
      <c r="E961" s="76"/>
      <c r="F961" s="52"/>
      <c r="G961" s="52"/>
      <c r="H961" s="77"/>
      <c r="I961" s="78"/>
      <c r="J961" s="88"/>
    </row>
    <row r="962" spans="2:10" x14ac:dyDescent="0.3">
      <c r="B962" s="24"/>
      <c r="C962" s="24"/>
      <c r="E962" s="76"/>
      <c r="F962" s="52"/>
      <c r="G962" s="52"/>
      <c r="H962" s="77"/>
      <c r="I962" s="78"/>
      <c r="J962" s="88"/>
    </row>
    <row r="963" spans="2:10" x14ac:dyDescent="0.3">
      <c r="B963" s="24"/>
      <c r="C963" s="24"/>
      <c r="E963" s="76"/>
      <c r="F963" s="52"/>
      <c r="G963" s="52"/>
      <c r="H963" s="77"/>
      <c r="I963" s="82"/>
      <c r="J963" s="88"/>
    </row>
    <row r="964" spans="2:10" x14ac:dyDescent="0.3">
      <c r="B964" s="24"/>
      <c r="C964" s="24"/>
      <c r="E964" s="76"/>
      <c r="F964" s="52"/>
      <c r="G964" s="52"/>
      <c r="H964" s="77"/>
      <c r="I964" s="78"/>
      <c r="J964" s="88"/>
    </row>
    <row r="965" spans="2:10" x14ac:dyDescent="0.3">
      <c r="B965" s="24"/>
      <c r="C965" s="24"/>
      <c r="E965" s="76"/>
      <c r="F965" s="52"/>
      <c r="G965" s="52"/>
      <c r="H965" s="77"/>
      <c r="I965" s="78"/>
      <c r="J965" s="88"/>
    </row>
    <row r="966" spans="2:10" x14ac:dyDescent="0.3">
      <c r="B966" s="24"/>
      <c r="C966" s="24"/>
      <c r="E966" s="76"/>
      <c r="F966" s="52"/>
      <c r="G966" s="52"/>
      <c r="H966" s="77"/>
      <c r="I966" s="78"/>
      <c r="J966" s="88"/>
    </row>
    <row r="967" spans="2:10" x14ac:dyDescent="0.3">
      <c r="B967" s="24"/>
      <c r="C967" s="24"/>
      <c r="E967" s="76"/>
      <c r="F967" s="52"/>
      <c r="G967" s="52"/>
      <c r="H967" s="77"/>
      <c r="I967" s="78"/>
      <c r="J967" s="88"/>
    </row>
    <row r="968" spans="2:10" x14ac:dyDescent="0.3">
      <c r="B968" s="24"/>
      <c r="C968" s="24"/>
      <c r="E968" s="76"/>
      <c r="F968" s="52"/>
      <c r="G968" s="52"/>
      <c r="H968" s="77"/>
      <c r="I968" s="78"/>
      <c r="J968" s="88"/>
    </row>
    <row r="969" spans="2:10" x14ac:dyDescent="0.3">
      <c r="B969" s="24"/>
      <c r="C969" s="24"/>
      <c r="E969" s="76"/>
      <c r="F969" s="52"/>
      <c r="G969" s="52"/>
      <c r="H969" s="77"/>
      <c r="I969" s="78"/>
      <c r="J969" s="88"/>
    </row>
    <row r="970" spans="2:10" x14ac:dyDescent="0.3">
      <c r="B970" s="24"/>
      <c r="C970" s="24"/>
      <c r="E970" s="76"/>
      <c r="F970" s="52"/>
      <c r="G970" s="52"/>
      <c r="H970" s="77"/>
      <c r="I970" s="78"/>
      <c r="J970" s="88"/>
    </row>
    <row r="971" spans="2:10" x14ac:dyDescent="0.3">
      <c r="B971" s="24"/>
      <c r="C971" s="24"/>
      <c r="E971" s="76"/>
      <c r="F971" s="52"/>
      <c r="G971" s="52"/>
      <c r="H971" s="77"/>
      <c r="I971" s="78"/>
      <c r="J971" s="88"/>
    </row>
    <row r="972" spans="2:10" x14ac:dyDescent="0.3">
      <c r="B972" s="24"/>
      <c r="C972" s="24"/>
      <c r="E972" s="76"/>
      <c r="F972" s="52"/>
      <c r="G972" s="52"/>
      <c r="H972" s="77"/>
      <c r="I972" s="78"/>
      <c r="J972" s="88"/>
    </row>
    <row r="973" spans="2:10" x14ac:dyDescent="0.3">
      <c r="B973" s="24"/>
      <c r="C973" s="24"/>
      <c r="E973" s="76"/>
      <c r="F973" s="52"/>
      <c r="G973" s="52"/>
      <c r="H973" s="77"/>
      <c r="I973" s="78"/>
      <c r="J973" s="88"/>
    </row>
    <row r="974" spans="2:10" x14ac:dyDescent="0.3">
      <c r="B974" s="24"/>
      <c r="C974" s="24"/>
      <c r="E974" s="76"/>
      <c r="F974" s="52"/>
      <c r="G974" s="52"/>
      <c r="H974" s="77"/>
      <c r="I974" s="78"/>
      <c r="J974" s="88"/>
    </row>
    <row r="975" spans="2:10" x14ac:dyDescent="0.3">
      <c r="B975" s="24"/>
      <c r="C975" s="24"/>
      <c r="E975" s="76"/>
      <c r="F975" s="52"/>
      <c r="G975" s="52"/>
      <c r="H975" s="77"/>
      <c r="I975" s="78"/>
      <c r="J975" s="88"/>
    </row>
    <row r="976" spans="2:10" x14ac:dyDescent="0.3">
      <c r="B976" s="24"/>
      <c r="C976" s="24"/>
      <c r="E976" s="76"/>
      <c r="F976" s="52"/>
      <c r="G976" s="52"/>
      <c r="H976" s="77"/>
      <c r="I976" s="78"/>
      <c r="J976" s="88"/>
    </row>
    <row r="977" spans="1:10" x14ac:dyDescent="0.3">
      <c r="B977" s="24"/>
      <c r="C977" s="24"/>
      <c r="E977" s="76"/>
      <c r="F977" s="52"/>
      <c r="G977" s="52"/>
      <c r="H977" s="77"/>
      <c r="I977" s="78"/>
      <c r="J977" s="88"/>
    </row>
    <row r="978" spans="1:10" x14ac:dyDescent="0.3">
      <c r="B978" s="24"/>
      <c r="C978" s="24"/>
      <c r="E978" s="76"/>
      <c r="F978" s="52"/>
      <c r="G978" s="52"/>
      <c r="H978" s="77"/>
      <c r="I978" s="78"/>
      <c r="J978" s="88"/>
    </row>
    <row r="979" spans="1:10" x14ac:dyDescent="0.3">
      <c r="B979" s="24"/>
      <c r="C979" s="24"/>
      <c r="E979" s="76"/>
      <c r="F979" s="52"/>
      <c r="G979" s="52"/>
      <c r="H979" s="77"/>
      <c r="I979" s="78"/>
      <c r="J979" s="88"/>
    </row>
    <row r="980" spans="1:10" x14ac:dyDescent="0.3">
      <c r="B980" s="24"/>
      <c r="C980" s="24"/>
      <c r="E980" s="76"/>
      <c r="F980" s="52"/>
      <c r="G980" s="52"/>
      <c r="H980" s="77"/>
      <c r="I980" s="78"/>
      <c r="J980" s="88"/>
    </row>
    <row r="981" spans="1:10" x14ac:dyDescent="0.3">
      <c r="B981" s="24"/>
      <c r="C981" s="24"/>
      <c r="E981" s="76"/>
      <c r="F981" s="52"/>
      <c r="G981" s="52"/>
      <c r="H981" s="77"/>
      <c r="I981" s="78"/>
      <c r="J981" s="88"/>
    </row>
    <row r="982" spans="1:10" x14ac:dyDescent="0.3">
      <c r="B982" s="89"/>
      <c r="C982" s="89"/>
      <c r="E982" s="76"/>
      <c r="F982" s="52"/>
      <c r="G982" s="52"/>
      <c r="H982" s="77"/>
      <c r="I982" s="78"/>
      <c r="J982" s="88"/>
    </row>
    <row r="983" spans="1:10" x14ac:dyDescent="0.3">
      <c r="B983" s="89"/>
      <c r="C983" s="89"/>
      <c r="E983" s="76"/>
      <c r="F983" s="52"/>
      <c r="G983" s="52"/>
      <c r="H983" s="77"/>
      <c r="I983" s="78"/>
      <c r="J983" s="88"/>
    </row>
    <row r="984" spans="1:10" x14ac:dyDescent="0.3">
      <c r="B984" s="89"/>
      <c r="C984" s="89"/>
      <c r="E984" s="76"/>
      <c r="F984" s="52"/>
      <c r="G984" s="52"/>
      <c r="H984" s="77"/>
      <c r="I984" s="78"/>
      <c r="J984" s="88"/>
    </row>
    <row r="985" spans="1:10" x14ac:dyDescent="0.3">
      <c r="B985" s="89"/>
      <c r="C985" s="89"/>
      <c r="E985" s="76"/>
      <c r="F985" s="52"/>
      <c r="G985" s="52"/>
      <c r="H985" s="77"/>
      <c r="I985" s="78"/>
      <c r="J985" s="88"/>
    </row>
    <row r="986" spans="1:10" x14ac:dyDescent="0.3">
      <c r="B986" s="89"/>
      <c r="C986" s="89"/>
      <c r="E986" s="76"/>
      <c r="F986" s="52"/>
      <c r="G986" s="52"/>
      <c r="H986" s="77"/>
      <c r="I986" s="78"/>
      <c r="J986" s="88"/>
    </row>
    <row r="987" spans="1:10" x14ac:dyDescent="0.3">
      <c r="B987" s="89"/>
      <c r="C987" s="89"/>
      <c r="E987" s="76"/>
      <c r="F987" s="52"/>
      <c r="G987" s="52"/>
      <c r="H987" s="77"/>
      <c r="I987" s="78"/>
      <c r="J987" s="88"/>
    </row>
    <row r="988" spans="1:10" x14ac:dyDescent="0.3">
      <c r="B988" s="24"/>
      <c r="C988" s="33"/>
      <c r="D988" s="50"/>
      <c r="E988" s="32"/>
      <c r="F988" s="52"/>
      <c r="G988" s="52"/>
      <c r="H988" s="77"/>
      <c r="I988" s="78"/>
      <c r="J988" s="88"/>
    </row>
    <row r="989" spans="1:10" x14ac:dyDescent="0.3">
      <c r="B989" s="24"/>
      <c r="C989" s="33"/>
      <c r="D989" s="50"/>
      <c r="E989" s="85"/>
      <c r="F989" s="52"/>
      <c r="G989" s="52"/>
      <c r="H989" s="90"/>
      <c r="I989" s="38"/>
      <c r="J989" s="88"/>
    </row>
    <row r="990" spans="1:10" x14ac:dyDescent="0.3">
      <c r="B990" s="24"/>
      <c r="C990" s="33"/>
      <c r="D990" s="50"/>
      <c r="E990" s="85"/>
      <c r="F990" s="52"/>
      <c r="G990" s="52"/>
      <c r="H990" s="90"/>
      <c r="I990" s="38"/>
      <c r="J990" s="88"/>
    </row>
    <row r="991" spans="1:10" x14ac:dyDescent="0.3">
      <c r="B991" s="24"/>
      <c r="C991" s="33"/>
      <c r="D991" s="50"/>
      <c r="E991" s="32"/>
      <c r="F991" s="52"/>
      <c r="G991" s="52"/>
      <c r="H991" s="91"/>
      <c r="I991" s="38"/>
      <c r="J991" s="88"/>
    </row>
    <row r="992" spans="1:10" x14ac:dyDescent="0.3">
      <c r="A992" s="92"/>
      <c r="B992" s="89"/>
      <c r="C992" s="89"/>
      <c r="D992" s="89"/>
      <c r="E992" s="85"/>
      <c r="F992" s="81"/>
      <c r="G992" s="27"/>
    </row>
    <row r="993" spans="1:7" x14ac:dyDescent="0.3">
      <c r="A993" s="92"/>
      <c r="B993" s="89"/>
      <c r="C993" s="89"/>
      <c r="D993" s="89"/>
      <c r="E993" s="85"/>
      <c r="F993" s="81"/>
      <c r="G993" s="27"/>
    </row>
    <row r="994" spans="1:7" x14ac:dyDescent="0.3">
      <c r="A994" s="92"/>
      <c r="B994" s="89"/>
      <c r="C994" s="89"/>
      <c r="D994" s="89"/>
      <c r="E994" s="85"/>
      <c r="F994" s="81"/>
      <c r="G994" s="27"/>
    </row>
    <row r="995" spans="1:7" x14ac:dyDescent="0.3">
      <c r="A995" s="92"/>
      <c r="B995" s="89"/>
      <c r="C995" s="89"/>
      <c r="D995" s="89"/>
      <c r="E995" s="85"/>
      <c r="F995" s="81"/>
      <c r="G995" s="27"/>
    </row>
    <row r="996" spans="1:7" x14ac:dyDescent="0.3">
      <c r="A996" s="92"/>
      <c r="B996" s="89"/>
      <c r="C996" s="89"/>
      <c r="D996" s="89"/>
      <c r="E996" s="85"/>
      <c r="F996" s="81"/>
      <c r="G996" s="27"/>
    </row>
    <row r="997" spans="1:7" x14ac:dyDescent="0.3">
      <c r="A997" s="92"/>
      <c r="B997" s="89"/>
      <c r="C997" s="89"/>
      <c r="D997" s="89"/>
      <c r="E997" s="85"/>
      <c r="F997" s="81"/>
      <c r="G997" s="27"/>
    </row>
    <row r="998" spans="1:7" x14ac:dyDescent="0.3">
      <c r="A998" s="92"/>
      <c r="B998" s="89"/>
      <c r="C998" s="89"/>
      <c r="D998" s="89"/>
      <c r="E998" s="85"/>
      <c r="F998" s="81"/>
      <c r="G998" s="27"/>
    </row>
    <row r="999" spans="1:7" x14ac:dyDescent="0.3">
      <c r="A999" s="92"/>
      <c r="B999" s="89"/>
      <c r="C999" s="89"/>
      <c r="D999" s="89"/>
      <c r="E999" s="85"/>
      <c r="F999" s="81"/>
      <c r="G999" s="27"/>
    </row>
    <row r="1000" spans="1:7" x14ac:dyDescent="0.3">
      <c r="A1000" s="92"/>
      <c r="B1000" s="89"/>
      <c r="C1000" s="89"/>
      <c r="D1000" s="89"/>
      <c r="E1000" s="85"/>
      <c r="F1000" s="81"/>
      <c r="G1000" s="27"/>
    </row>
    <row r="1001" spans="1:7" x14ac:dyDescent="0.3">
      <c r="A1001" s="92"/>
      <c r="B1001" s="89"/>
      <c r="C1001" s="89"/>
      <c r="D1001" s="89"/>
      <c r="E1001" s="85"/>
      <c r="F1001" s="81"/>
      <c r="G1001" s="27"/>
    </row>
    <row r="1002" spans="1:7" x14ac:dyDescent="0.3">
      <c r="A1002" s="92"/>
      <c r="B1002" s="89"/>
      <c r="C1002" s="89"/>
      <c r="D1002" s="89"/>
      <c r="E1002" s="85"/>
      <c r="F1002" s="81"/>
      <c r="G1002" s="27"/>
    </row>
    <row r="1003" spans="1:7" x14ac:dyDescent="0.3">
      <c r="A1003" s="92"/>
      <c r="B1003" s="89"/>
      <c r="C1003" s="89"/>
      <c r="D1003" s="89"/>
      <c r="E1003" s="85"/>
      <c r="F1003" s="81"/>
      <c r="G1003" s="27"/>
    </row>
    <row r="1004" spans="1:7" x14ac:dyDescent="0.3">
      <c r="A1004" s="92"/>
      <c r="B1004" s="89"/>
      <c r="C1004" s="89"/>
      <c r="D1004" s="89"/>
      <c r="E1004" s="85"/>
      <c r="F1004" s="81"/>
      <c r="G1004" s="27"/>
    </row>
    <row r="1005" spans="1:7" x14ac:dyDescent="0.3">
      <c r="A1005" s="92"/>
      <c r="B1005" s="89"/>
      <c r="C1005" s="89"/>
      <c r="D1005" s="89"/>
      <c r="E1005" s="85"/>
      <c r="F1005" s="81"/>
      <c r="G1005" s="27"/>
    </row>
    <row r="1006" spans="1:7" x14ac:dyDescent="0.3">
      <c r="A1006" s="92"/>
      <c r="B1006" s="89"/>
      <c r="C1006" s="89"/>
      <c r="D1006" s="89"/>
      <c r="E1006" s="85"/>
      <c r="F1006" s="81"/>
      <c r="G1006" s="27"/>
    </row>
    <row r="1007" spans="1:7" x14ac:dyDescent="0.3">
      <c r="A1007" s="92"/>
      <c r="B1007" s="89"/>
      <c r="C1007" s="89"/>
      <c r="D1007" s="89"/>
      <c r="E1007" s="85"/>
      <c r="F1007" s="81"/>
      <c r="G1007" s="27"/>
    </row>
    <row r="1008" spans="1:7" x14ac:dyDescent="0.3">
      <c r="A1008" s="92"/>
      <c r="B1008" s="89"/>
      <c r="C1008" s="89"/>
      <c r="D1008" s="89"/>
      <c r="E1008" s="85"/>
      <c r="F1008" s="81"/>
      <c r="G1008" s="27"/>
    </row>
    <row r="1009" spans="1:7" x14ac:dyDescent="0.3">
      <c r="A1009" s="92"/>
      <c r="B1009" s="89"/>
      <c r="C1009" s="89"/>
      <c r="D1009" s="89"/>
      <c r="E1009" s="85"/>
      <c r="F1009" s="81"/>
      <c r="G1009" s="27"/>
    </row>
    <row r="1010" spans="1:7" x14ac:dyDescent="0.3">
      <c r="A1010" s="92"/>
      <c r="B1010" s="89"/>
      <c r="C1010" s="89"/>
      <c r="D1010" s="89"/>
      <c r="E1010" s="85"/>
      <c r="F1010" s="81"/>
      <c r="G1010" s="27"/>
    </row>
    <row r="1011" spans="1:7" x14ac:dyDescent="0.3">
      <c r="A1011" s="92"/>
      <c r="B1011" s="89"/>
      <c r="C1011" s="89"/>
      <c r="D1011" s="89"/>
      <c r="E1011" s="85"/>
      <c r="F1011" s="81"/>
      <c r="G1011" s="27"/>
    </row>
    <row r="1012" spans="1:7" x14ac:dyDescent="0.3">
      <c r="A1012" s="92"/>
      <c r="B1012" s="89"/>
      <c r="C1012" s="89"/>
      <c r="D1012" s="89"/>
      <c r="E1012" s="85"/>
      <c r="F1012" s="81"/>
      <c r="G1012" s="27"/>
    </row>
    <row r="1013" spans="1:7" x14ac:dyDescent="0.3">
      <c r="A1013" s="92"/>
      <c r="B1013" s="89"/>
      <c r="C1013" s="89"/>
      <c r="D1013" s="89"/>
      <c r="E1013" s="85"/>
      <c r="F1013" s="81"/>
      <c r="G1013" s="27"/>
    </row>
    <row r="1014" spans="1:7" x14ac:dyDescent="0.3">
      <c r="A1014" s="92"/>
      <c r="B1014" s="89"/>
      <c r="C1014" s="89"/>
      <c r="D1014" s="89"/>
      <c r="E1014" s="85"/>
      <c r="F1014" s="81"/>
      <c r="G1014" s="27"/>
    </row>
    <row r="1015" spans="1:7" x14ac:dyDescent="0.3">
      <c r="A1015" s="92"/>
      <c r="B1015" s="89"/>
      <c r="C1015" s="89"/>
      <c r="D1015" s="89"/>
      <c r="E1015" s="85"/>
      <c r="F1015" s="81"/>
      <c r="G1015" s="27"/>
    </row>
    <row r="1016" spans="1:7" x14ac:dyDescent="0.3">
      <c r="A1016" s="92"/>
      <c r="B1016" s="89"/>
      <c r="C1016" s="89"/>
      <c r="D1016" s="89"/>
      <c r="E1016" s="85"/>
      <c r="F1016" s="81"/>
      <c r="G1016" s="27"/>
    </row>
    <row r="1017" spans="1:7" x14ac:dyDescent="0.3">
      <c r="A1017" s="92"/>
      <c r="B1017" s="89"/>
      <c r="C1017" s="89"/>
      <c r="D1017" s="89"/>
      <c r="E1017" s="85"/>
      <c r="F1017" s="81"/>
      <c r="G1017" s="27"/>
    </row>
    <row r="1018" spans="1:7" x14ac:dyDescent="0.3">
      <c r="A1018" s="92"/>
      <c r="B1018" s="89"/>
      <c r="C1018" s="89"/>
      <c r="D1018" s="89"/>
      <c r="E1018" s="85"/>
      <c r="F1018" s="81"/>
      <c r="G1018" s="27"/>
    </row>
    <row r="1019" spans="1:7" x14ac:dyDescent="0.3">
      <c r="A1019" s="92"/>
      <c r="B1019" s="89"/>
      <c r="C1019" s="89"/>
      <c r="D1019" s="89"/>
      <c r="E1019" s="85"/>
      <c r="F1019" s="81"/>
      <c r="G1019" s="27"/>
    </row>
    <row r="1020" spans="1:7" x14ac:dyDescent="0.3">
      <c r="A1020" s="92"/>
      <c r="B1020" s="89"/>
      <c r="C1020" s="89"/>
      <c r="D1020" s="89"/>
      <c r="E1020" s="85"/>
      <c r="F1020" s="81"/>
      <c r="G1020" s="27"/>
    </row>
    <row r="1021" spans="1:7" x14ac:dyDescent="0.3">
      <c r="A1021" s="92"/>
      <c r="B1021" s="89"/>
      <c r="C1021" s="89"/>
      <c r="D1021" s="89"/>
      <c r="E1021" s="85"/>
      <c r="F1021" s="81"/>
      <c r="G1021" s="27"/>
    </row>
    <row r="1022" spans="1:7" x14ac:dyDescent="0.3">
      <c r="A1022" s="92"/>
      <c r="B1022" s="89"/>
      <c r="C1022" s="89"/>
      <c r="D1022" s="89"/>
      <c r="E1022" s="85"/>
      <c r="F1022" s="81"/>
      <c r="G1022" s="27"/>
    </row>
    <row r="1023" spans="1:7" x14ac:dyDescent="0.3">
      <c r="A1023" s="92"/>
      <c r="B1023" s="89"/>
      <c r="C1023" s="89"/>
      <c r="D1023" s="89"/>
      <c r="E1023" s="85"/>
      <c r="F1023" s="81"/>
      <c r="G1023" s="27"/>
    </row>
    <row r="1024" spans="1:7" x14ac:dyDescent="0.3">
      <c r="A1024" s="92"/>
      <c r="B1024" s="92"/>
      <c r="C1024" s="92"/>
      <c r="D1024" s="89"/>
      <c r="E1024" s="85"/>
      <c r="F1024" s="81"/>
      <c r="G1024" s="27"/>
    </row>
    <row r="1025" spans="1:7" x14ac:dyDescent="0.3">
      <c r="A1025" s="92"/>
      <c r="B1025" s="92"/>
      <c r="C1025" s="92"/>
      <c r="D1025" s="89"/>
      <c r="E1025" s="85"/>
      <c r="F1025" s="81"/>
      <c r="G1025" s="27"/>
    </row>
    <row r="1026" spans="1:7" x14ac:dyDescent="0.3">
      <c r="A1026" s="92"/>
      <c r="B1026" s="92"/>
      <c r="C1026" s="92"/>
      <c r="D1026" s="89"/>
      <c r="E1026" s="85"/>
      <c r="F1026" s="81"/>
      <c r="G1026" s="27"/>
    </row>
    <row r="1027" spans="1:7" x14ac:dyDescent="0.3">
      <c r="A1027" s="92"/>
      <c r="B1027" s="92"/>
      <c r="C1027" s="92"/>
      <c r="D1027" s="89"/>
      <c r="E1027" s="85"/>
      <c r="F1027" s="81"/>
      <c r="G1027" s="27"/>
    </row>
    <row r="1028" spans="1:7" x14ac:dyDescent="0.3">
      <c r="A1028" s="92"/>
      <c r="B1028" s="92"/>
      <c r="C1028" s="92"/>
      <c r="D1028" s="89"/>
      <c r="E1028" s="85"/>
      <c r="F1028" s="81"/>
      <c r="G1028" s="27"/>
    </row>
    <row r="1029" spans="1:7" x14ac:dyDescent="0.3">
      <c r="A1029" s="92"/>
      <c r="B1029" s="92"/>
      <c r="C1029" s="92"/>
      <c r="D1029" s="89"/>
      <c r="E1029" s="85"/>
      <c r="F1029" s="81"/>
      <c r="G1029" s="27"/>
    </row>
    <row r="1030" spans="1:7" x14ac:dyDescent="0.3">
      <c r="A1030" s="92"/>
      <c r="B1030" s="92"/>
      <c r="C1030" s="92"/>
      <c r="D1030" s="89"/>
      <c r="E1030" s="85"/>
      <c r="F1030" s="81"/>
      <c r="G1030" s="27"/>
    </row>
    <row r="1031" spans="1:7" x14ac:dyDescent="0.3">
      <c r="A1031" s="92"/>
      <c r="B1031" s="92"/>
      <c r="C1031" s="92"/>
      <c r="D1031" s="89"/>
      <c r="E1031" s="85"/>
      <c r="F1031" s="81"/>
      <c r="G1031" s="27"/>
    </row>
    <row r="1032" spans="1:7" x14ac:dyDescent="0.3">
      <c r="A1032" s="92"/>
      <c r="B1032" s="92"/>
      <c r="C1032" s="92"/>
      <c r="D1032" s="89"/>
      <c r="E1032" s="85"/>
      <c r="F1032" s="81"/>
      <c r="G1032" s="27"/>
    </row>
    <row r="1033" spans="1:7" x14ac:dyDescent="0.3">
      <c r="A1033" s="92"/>
      <c r="B1033" s="92"/>
      <c r="C1033" s="92"/>
      <c r="D1033" s="89"/>
      <c r="E1033" s="85"/>
      <c r="F1033" s="81"/>
      <c r="G1033" s="27"/>
    </row>
    <row r="1034" spans="1:7" x14ac:dyDescent="0.3">
      <c r="A1034" s="92"/>
      <c r="B1034" s="92"/>
      <c r="C1034" s="92"/>
      <c r="D1034" s="89"/>
      <c r="E1034" s="85"/>
      <c r="F1034" s="81"/>
      <c r="G1034" s="27"/>
    </row>
    <row r="1035" spans="1:7" x14ac:dyDescent="0.3">
      <c r="A1035" s="92"/>
      <c r="B1035" s="92"/>
      <c r="C1035" s="92"/>
      <c r="D1035" s="89"/>
      <c r="E1035" s="85"/>
      <c r="F1035" s="81"/>
      <c r="G1035" s="27"/>
    </row>
    <row r="1036" spans="1:7" x14ac:dyDescent="0.3">
      <c r="A1036" s="92"/>
      <c r="B1036" s="93"/>
      <c r="C1036" s="93"/>
      <c r="D1036" s="89"/>
      <c r="E1036" s="85"/>
      <c r="F1036" s="81"/>
      <c r="G1036" s="27"/>
    </row>
    <row r="1037" spans="1:7" x14ac:dyDescent="0.3">
      <c r="A1037" s="92"/>
      <c r="B1037" s="93"/>
      <c r="C1037" s="93"/>
      <c r="D1037" s="89"/>
      <c r="E1037" s="85"/>
      <c r="F1037" s="81"/>
      <c r="G1037" s="27"/>
    </row>
    <row r="1038" spans="1:7" x14ac:dyDescent="0.3">
      <c r="A1038" s="92"/>
      <c r="B1038" s="93"/>
      <c r="C1038" s="93"/>
      <c r="D1038" s="89"/>
      <c r="E1038" s="85"/>
      <c r="F1038" s="81"/>
      <c r="G1038" s="27"/>
    </row>
    <row r="1039" spans="1:7" x14ac:dyDescent="0.3">
      <c r="A1039" s="92"/>
      <c r="B1039" s="93"/>
      <c r="C1039" s="93"/>
      <c r="D1039" s="89"/>
      <c r="E1039" s="85"/>
      <c r="F1039" s="81"/>
      <c r="G1039" s="27"/>
    </row>
    <row r="1040" spans="1:7" x14ac:dyDescent="0.3">
      <c r="A1040" s="92"/>
      <c r="B1040" s="93"/>
      <c r="C1040" s="93"/>
      <c r="D1040" s="89"/>
      <c r="E1040" s="85"/>
      <c r="F1040" s="81"/>
      <c r="G1040" s="27"/>
    </row>
    <row r="1041" spans="1:7" x14ac:dyDescent="0.3">
      <c r="A1041" s="92"/>
      <c r="B1041" s="93"/>
      <c r="C1041" s="93"/>
      <c r="D1041" s="89"/>
      <c r="E1041" s="30"/>
      <c r="F1041" s="81"/>
      <c r="G1041" s="27"/>
    </row>
    <row r="1042" spans="1:7" x14ac:dyDescent="0.3">
      <c r="A1042" s="92"/>
      <c r="B1042" s="93"/>
      <c r="C1042" s="93"/>
      <c r="D1042" s="89"/>
      <c r="E1042" s="30"/>
      <c r="F1042" s="81"/>
      <c r="G1042" s="27"/>
    </row>
    <row r="1043" spans="1:7" x14ac:dyDescent="0.3">
      <c r="A1043" s="92"/>
      <c r="B1043" s="93"/>
      <c r="C1043" s="93"/>
      <c r="D1043" s="89"/>
      <c r="E1043" s="30"/>
      <c r="F1043" s="81"/>
      <c r="G1043" s="27"/>
    </row>
    <row r="1044" spans="1:7" x14ac:dyDescent="0.3">
      <c r="A1044" s="92"/>
      <c r="B1044" s="93"/>
      <c r="C1044" s="93"/>
      <c r="D1044" s="89"/>
      <c r="E1044" s="85"/>
      <c r="F1044" s="81"/>
      <c r="G1044" s="27"/>
    </row>
    <row r="1045" spans="1:7" x14ac:dyDescent="0.3">
      <c r="A1045" s="92"/>
      <c r="B1045" s="93"/>
      <c r="C1045" s="93"/>
      <c r="D1045" s="89"/>
      <c r="E1045" s="85"/>
      <c r="F1045" s="81"/>
      <c r="G1045" s="27"/>
    </row>
    <row r="1046" spans="1:7" x14ac:dyDescent="0.3">
      <c r="A1046" s="92"/>
      <c r="B1046" s="93"/>
      <c r="C1046" s="93"/>
      <c r="D1046" s="89"/>
      <c r="E1046" s="85"/>
      <c r="F1046" s="81"/>
      <c r="G1046" s="27"/>
    </row>
    <row r="1047" spans="1:7" x14ac:dyDescent="0.3">
      <c r="A1047" s="92"/>
      <c r="B1047" s="93"/>
      <c r="C1047" s="93"/>
      <c r="D1047" s="89"/>
      <c r="E1047" s="85"/>
      <c r="F1047" s="81"/>
      <c r="G1047" s="27"/>
    </row>
    <row r="1048" spans="1:7" x14ac:dyDescent="0.3">
      <c r="A1048" s="92"/>
      <c r="B1048" s="89"/>
      <c r="C1048" s="89"/>
      <c r="D1048" s="89"/>
      <c r="E1048" s="95"/>
      <c r="F1048" s="96"/>
      <c r="G1048" s="94"/>
    </row>
    <row r="1049" spans="1:7" x14ac:dyDescent="0.3">
      <c r="A1049" s="92"/>
      <c r="B1049" s="89"/>
      <c r="C1049" s="89"/>
      <c r="D1049" s="89"/>
      <c r="E1049" s="95"/>
      <c r="F1049" s="96"/>
      <c r="G1049" s="94"/>
    </row>
    <row r="1050" spans="1:7" x14ac:dyDescent="0.3">
      <c r="A1050" s="92"/>
      <c r="B1050" s="89"/>
      <c r="C1050" s="89"/>
      <c r="D1050" s="89"/>
      <c r="E1050" s="95"/>
      <c r="F1050" s="96"/>
      <c r="G1050" s="94"/>
    </row>
    <row r="1051" spans="1:7" x14ac:dyDescent="0.3">
      <c r="A1051" s="92"/>
      <c r="B1051" s="89"/>
      <c r="C1051" s="89"/>
      <c r="D1051" s="89"/>
      <c r="E1051" s="95"/>
      <c r="F1051" s="96"/>
      <c r="G1051" s="94"/>
    </row>
    <row r="1052" spans="1:7" x14ac:dyDescent="0.3">
      <c r="A1052" s="92"/>
      <c r="B1052" s="89"/>
      <c r="C1052" s="89"/>
      <c r="D1052" s="89"/>
      <c r="E1052" s="95"/>
      <c r="F1052" s="96"/>
      <c r="G1052" s="94"/>
    </row>
    <row r="1053" spans="1:7" x14ac:dyDescent="0.3">
      <c r="A1053" s="92"/>
      <c r="B1053" s="89"/>
      <c r="C1053" s="89"/>
      <c r="D1053" s="89"/>
      <c r="E1053" s="95"/>
      <c r="F1053" s="96"/>
      <c r="G1053" s="94"/>
    </row>
    <row r="1054" spans="1:7" x14ac:dyDescent="0.3">
      <c r="A1054" s="92"/>
      <c r="B1054" s="89"/>
      <c r="C1054" s="89"/>
      <c r="D1054" s="89"/>
      <c r="E1054" s="95"/>
      <c r="F1054" s="96"/>
      <c r="G1054" s="94"/>
    </row>
    <row r="1055" spans="1:7" x14ac:dyDescent="0.3">
      <c r="A1055" s="92"/>
      <c r="B1055" s="89"/>
      <c r="C1055" s="89"/>
      <c r="D1055" s="89"/>
      <c r="E1055" s="95"/>
      <c r="F1055" s="96"/>
      <c r="G1055" s="94"/>
    </row>
    <row r="1056" spans="1:7" x14ac:dyDescent="0.3">
      <c r="A1056" s="92"/>
      <c r="B1056" s="89"/>
      <c r="C1056" s="89"/>
      <c r="D1056" s="89"/>
      <c r="E1056" s="95"/>
      <c r="F1056" s="96"/>
      <c r="G1056" s="94"/>
    </row>
    <row r="1057" spans="1:7" x14ac:dyDescent="0.3">
      <c r="A1057" s="92"/>
      <c r="B1057" s="89"/>
      <c r="C1057" s="89"/>
      <c r="D1057" s="89"/>
      <c r="E1057" s="95"/>
      <c r="F1057" s="96"/>
      <c r="G1057" s="94"/>
    </row>
    <row r="1058" spans="1:7" x14ac:dyDescent="0.3">
      <c r="A1058" s="92"/>
      <c r="B1058" s="89"/>
      <c r="C1058" s="89"/>
      <c r="D1058" s="89"/>
      <c r="E1058" s="95"/>
      <c r="F1058" s="96"/>
      <c r="G1058" s="94"/>
    </row>
    <row r="1059" spans="1:7" x14ac:dyDescent="0.3">
      <c r="A1059" s="92"/>
      <c r="B1059" s="89"/>
      <c r="C1059" s="89"/>
      <c r="D1059" s="89"/>
      <c r="E1059" s="95"/>
      <c r="F1059" s="96"/>
      <c r="G1059" s="94"/>
    </row>
  </sheetData>
  <protectedRanges>
    <protectedRange algorithmName="SHA-512" hashValue="EzIqsw7Fws1J7+SCeMwj0vSmSbItMh0nVvj33dAxtKzlLgcsjNCmcGiGRYEH6+fsT1WvyvNNd339O7LB/0gjFw==" saltValue="oyY7vqoee4T13wEbyPRpSg==" spinCount="100000" sqref="E606 I606" name="NARRATION AND WEIGHT_1_7_1"/>
    <protectedRange algorithmName="SHA-512" hashValue="EzIqsw7Fws1J7+SCeMwj0vSmSbItMh0nVvj33dAxtKzlLgcsjNCmcGiGRYEH6+fsT1WvyvNNd339O7LB/0gjFw==" saltValue="oyY7vqoee4T13wEbyPRpSg==" spinCount="100000" sqref="F578:G578 F592:G592 F613:G613 F616:G616" name="NARRATION AND WEIGHT_1_8_1"/>
    <protectedRange algorithmName="SHA-512" hashValue="EzIqsw7Fws1J7+SCeMwj0vSmSbItMh0nVvj33dAxtKzlLgcsjNCmcGiGRYEH6+fsT1WvyvNNd339O7LB/0gjFw==" saltValue="oyY7vqoee4T13wEbyPRpSg==" spinCount="100000" sqref="F584:G589" name="NARRATION AND WEIGHT_1_10_6"/>
    <protectedRange algorithmName="SHA-512" hashValue="EzIqsw7Fws1J7+SCeMwj0vSmSbItMh0nVvj33dAxtKzlLgcsjNCmcGiGRYEH6+fsT1WvyvNNd339O7LB/0gjFw==" saltValue="oyY7vqoee4T13wEbyPRpSg==" spinCount="100000" sqref="F890" name="NARRATION AND WEIGHT_1_14_1"/>
    <protectedRange algorithmName="SHA-512" hashValue="EzIqsw7Fws1J7+SCeMwj0vSmSbItMh0nVvj33dAxtKzlLgcsjNCmcGiGRYEH6+fsT1WvyvNNd339O7LB/0gjFw==" saltValue="oyY7vqoee4T13wEbyPRpSg==" spinCount="100000" sqref="F871:G873 F877" name="NARRATION AND WEIGHT_1_10_1_1"/>
    <protectedRange algorithmName="SHA-512" hashValue="EzIqsw7Fws1J7+SCeMwj0vSmSbItMh0nVvj33dAxtKzlLgcsjNCmcGiGRYEH6+fsT1WvyvNNd339O7LB/0gjFw==" saltValue="oyY7vqoee4T13wEbyPRpSg==" spinCount="100000" sqref="E853:F853 I853" name="NARRATION AND WEIGHT_1_11_1_1"/>
    <protectedRange algorithmName="SHA-512" hashValue="EzIqsw7Fws1J7+SCeMwj0vSmSbItMh0nVvj33dAxtKzlLgcsjNCmcGiGRYEH6+fsT1WvyvNNd339O7LB/0gjFw==" saltValue="oyY7vqoee4T13wEbyPRpSg==" spinCount="100000" sqref="F847:F848" name="NARRATION AND WEIGHT_1_10_2_1"/>
    <protectedRange algorithmName="SHA-512" hashValue="EzIqsw7Fws1J7+SCeMwj0vSmSbItMh0nVvj33dAxtKzlLgcsjNCmcGiGRYEH6+fsT1WvyvNNd339O7LB/0gjFw==" saltValue="oyY7vqoee4T13wEbyPRpSg==" spinCount="100000" sqref="E878:F878 I878" name="NARRATION AND WEIGHT_1_11_2_1"/>
    <protectedRange algorithmName="SHA-512" hashValue="EzIqsw7Fws1J7+SCeMwj0vSmSbItMh0nVvj33dAxtKzlLgcsjNCmcGiGRYEH6+fsT1WvyvNNd339O7LB/0gjFw==" saltValue="oyY7vqoee4T13wEbyPRpSg==" spinCount="100000" sqref="F879" name="NARRATION AND WEIGHT_1_12_1_1"/>
    <protectedRange algorithmName="SHA-512" hashValue="EzIqsw7Fws1J7+SCeMwj0vSmSbItMh0nVvj33dAxtKzlLgcsjNCmcGiGRYEH6+fsT1WvyvNNd339O7LB/0gjFw==" saltValue="oyY7vqoee4T13wEbyPRpSg==" spinCount="100000" sqref="F884" name="NARRATION AND WEIGHT_1_10_3_1"/>
    <protectedRange algorithmName="SHA-512" hashValue="EzIqsw7Fws1J7+SCeMwj0vSmSbItMh0nVvj33dAxtKzlLgcsjNCmcGiGRYEH6+fsT1WvyvNNd339O7LB/0gjFw==" saltValue="oyY7vqoee4T13wEbyPRpSg==" spinCount="100000" sqref="E857:F859 I857:I859" name="NARRATION AND WEIGHT_1_16_1_1"/>
    <protectedRange algorithmName="SHA-512" hashValue="EzIqsw7Fws1J7+SCeMwj0vSmSbItMh0nVvj33dAxtKzlLgcsjNCmcGiGRYEH6+fsT1WvyvNNd339O7LB/0gjFw==" saltValue="oyY7vqoee4T13wEbyPRpSg==" spinCount="100000" sqref="F856 F860" name="NARRATION AND WEIGHT_1_12_2_1"/>
    <protectedRange algorithmName="SHA-512" hashValue="EzIqsw7Fws1J7+SCeMwj0vSmSbItMh0nVvj33dAxtKzlLgcsjNCmcGiGRYEH6+fsT1WvyvNNd339O7LB/0gjFw==" saltValue="oyY7vqoee4T13wEbyPRpSg==" spinCount="100000" sqref="F854:F855" name="NARRATION AND WEIGHT_1_10_4_1"/>
    <protectedRange algorithmName="SHA-512" hashValue="EzIqsw7Fws1J7+SCeMwj0vSmSbItMh0nVvj33dAxtKzlLgcsjNCmcGiGRYEH6+fsT1WvyvNNd339O7LB/0gjFw==" saltValue="oyY7vqoee4T13wEbyPRpSg==" spinCount="100000" sqref="F863:F865" name="NARRATION AND WEIGHT_1_12_3_1"/>
    <protectedRange algorithmName="SHA-512" hashValue="EzIqsw7Fws1J7+SCeMwj0vSmSbItMh0nVvj33dAxtKzlLgcsjNCmcGiGRYEH6+fsT1WvyvNNd339O7LB/0gjFw==" saltValue="oyY7vqoee4T13wEbyPRpSg==" spinCount="100000" sqref="F861:F862" name="NARRATION AND WEIGHT_1_10_5_1"/>
    <protectedRange algorithmName="SHA-512" hashValue="EzIqsw7Fws1J7+SCeMwj0vSmSbItMh0nVvj33dAxtKzlLgcsjNCmcGiGRYEH6+fsT1WvyvNNd339O7LB/0gjFw==" saltValue="oyY7vqoee4T13wEbyPRpSg==" spinCount="100000" sqref="F896 F923 F930 F937" name="NARRATION AND WEIGHT_1_14_5"/>
    <protectedRange algorithmName="SHA-512" hashValue="EzIqsw7Fws1J7+SCeMwj0vSmSbItMh0nVvj33dAxtKzlLgcsjNCmcGiGRYEH6+fsT1WvyvNNd339O7LB/0gjFw==" saltValue="oyY7vqoee4T13wEbyPRpSg==" spinCount="100000" sqref="I897 E897:F897 I924 E924:F924 I931 E931:F931 I938 E938:F938" name="NARRATION AND WEIGHT_1_16_5"/>
    <protectedRange algorithmName="SHA-512" hashValue="EzIqsw7Fws1J7+SCeMwj0vSmSbItMh0nVvj33dAxtKzlLgcsjNCmcGiGRYEH6+fsT1WvyvNNd339O7LB/0gjFw==" saltValue="oyY7vqoee4T13wEbyPRpSg==" spinCount="100000" sqref="E898:F898 I898 E925:F925 I925 E932:F932 I932 E939:F939 I939" name="NARRATION AND WEIGHT_1_16_2_1_1_4"/>
    <protectedRange algorithmName="SHA-512" hashValue="EzIqsw7Fws1J7+SCeMwj0vSmSbItMh0nVvj33dAxtKzlLgcsjNCmcGiGRYEH6+fsT1WvyvNNd339O7LB/0gjFw==" saltValue="oyY7vqoee4T13wEbyPRpSg==" spinCount="100000" sqref="F968 F974 F980 F986" name="NARRATION AND WEIGHT_1_14_6"/>
    <protectedRange algorithmName="SHA-512" hashValue="EzIqsw7Fws1J7+SCeMwj0vSmSbItMh0nVvj33dAxtKzlLgcsjNCmcGiGRYEH6+fsT1WvyvNNd339O7LB/0gjFw==" saltValue="oyY7vqoee4T13wEbyPRpSg==" spinCount="100000" sqref="I969 E969:F969 I975 E975:F975 I981 E981:F981 I987 E987:F987" name="NARRATION AND WEIGHT_1_16_2_1"/>
    <protectedRange algorithmName="SHA-512" hashValue="EzIqsw7Fws1J7+SCeMwj0vSmSbItMh0nVvj33dAxtKzlLgcsjNCmcGiGRYEH6+fsT1WvyvNNd339O7LB/0gjFw==" saltValue="oyY7vqoee4T13wEbyPRpSg==" spinCount="100000" sqref="I948:I949 E948:F949" name="NARRATION AND WEIGHT_1_16_6"/>
    <protectedRange algorithmName="SHA-512" hashValue="EzIqsw7Fws1J7+SCeMwj0vSmSbItMh0nVvj33dAxtKzlLgcsjNCmcGiGRYEH6+fsT1WvyvNNd339O7LB/0gjFw==" saltValue="oyY7vqoee4T13wEbyPRpSg==" spinCount="100000" sqref="E950:F950 I950" name="NARRATION AND WEIGHT_1_16_1_1_5"/>
    <protectedRange algorithmName="SHA-512" hashValue="EzIqsw7Fws1J7+SCeMwj0vSmSbItMh0nVvj33dAxtKzlLgcsjNCmcGiGRYEH6+fsT1WvyvNNd339O7LB/0gjFw==" saltValue="oyY7vqoee4T13wEbyPRpSg==" spinCount="100000" sqref="F951:G951" name="NARRATION AND WEIGHT_1_10_2_1_2"/>
    <protectedRange algorithmName="SHA-512" hashValue="EzIqsw7Fws1J7+SCeMwj0vSmSbItMh0nVvj33dAxtKzlLgcsjNCmcGiGRYEH6+fsT1WvyvNNd339O7LB/0gjFw==" saltValue="oyY7vqoee4T13wEbyPRpSg==" spinCount="100000" sqref="I960:I961 E960:F961" name="NARRATION AND WEIGHT_1_16_7"/>
    <protectedRange algorithmName="SHA-512" hashValue="EzIqsw7Fws1J7+SCeMwj0vSmSbItMh0nVvj33dAxtKzlLgcsjNCmcGiGRYEH6+fsT1WvyvNNd339O7LB/0gjFw==" saltValue="oyY7vqoee4T13wEbyPRpSg==" spinCount="100000" sqref="E962:F962 I962" name="NARRATION AND WEIGHT_1_16_1_1_6"/>
    <protectedRange algorithmName="SHA-512" hashValue="EzIqsw7Fws1J7+SCeMwj0vSmSbItMh0nVvj33dAxtKzlLgcsjNCmcGiGRYEH6+fsT1WvyvNNd339O7LB/0gjFw==" saltValue="oyY7vqoee4T13wEbyPRpSg==" spinCount="100000" sqref="F963:G963" name="NARRATION AND WEIGHT_1_10_2_2"/>
    <protectedRange algorithmName="SHA-512" hashValue="EzIqsw7Fws1J7+SCeMwj0vSmSbItMh0nVvj33dAxtKzlLgcsjNCmcGiGRYEH6+fsT1WvyvNNd339O7LB/0gjFw==" saltValue="oyY7vqoee4T13wEbyPRpSg==" spinCount="100000" sqref="I942:I943 E942:F943" name="NARRATION AND WEIGHT_1_16_8"/>
    <protectedRange algorithmName="SHA-512" hashValue="EzIqsw7Fws1J7+SCeMwj0vSmSbItMh0nVvj33dAxtKzlLgcsjNCmcGiGRYEH6+fsT1WvyvNNd339O7LB/0gjFw==" saltValue="oyY7vqoee4T13wEbyPRpSg==" spinCount="100000" sqref="E944:F944 I944" name="NARRATION AND WEIGHT_1_16_1_1_7"/>
    <protectedRange algorithmName="SHA-512" hashValue="EzIqsw7Fws1J7+SCeMwj0vSmSbItMh0nVvj33dAxtKzlLgcsjNCmcGiGRYEH6+fsT1WvyvNNd339O7LB/0gjFw==" saltValue="oyY7vqoee4T13wEbyPRpSg==" spinCount="100000" sqref="F945:G945" name="NARRATION AND WEIGHT_1_10_2_3"/>
    <protectedRange algorithmName="SHA-512" hashValue="EzIqsw7Fws1J7+SCeMwj0vSmSbItMh0nVvj33dAxtKzlLgcsjNCmcGiGRYEH6+fsT1WvyvNNd339O7LB/0gjFw==" saltValue="oyY7vqoee4T13wEbyPRpSg==" spinCount="100000" sqref="I954:I955 E954:F955" name="NARRATION AND WEIGHT_1_16_9"/>
    <protectedRange algorithmName="SHA-512" hashValue="EzIqsw7Fws1J7+SCeMwj0vSmSbItMh0nVvj33dAxtKzlLgcsjNCmcGiGRYEH6+fsT1WvyvNNd339O7LB/0gjFw==" saltValue="oyY7vqoee4T13wEbyPRpSg==" spinCount="100000" sqref="E956:F956 I956" name="NARRATION AND WEIGHT_1_16_1_1_8"/>
    <protectedRange algorithmName="SHA-512" hashValue="EzIqsw7Fws1J7+SCeMwj0vSmSbItMh0nVvj33dAxtKzlLgcsjNCmcGiGRYEH6+fsT1WvyvNNd339O7LB/0gjFw==" saltValue="oyY7vqoee4T13wEbyPRpSg==" spinCount="100000" sqref="F957:G957" name="NARRATION AND WEIGHT_1_10_2_4"/>
    <protectedRange algorithmName="SHA-512" hashValue="EzIqsw7Fws1J7+SCeMwj0vSmSbItMh0nVvj33dAxtKzlLgcsjNCmcGiGRYEH6+fsT1WvyvNNd339O7LB/0gjFw==" saltValue="oyY7vqoee4T13wEbyPRpSg==" spinCount="100000" sqref="F902 F907" name="NARRATION AND WEIGHT_1_12"/>
    <protectedRange algorithmName="SHA-512" hashValue="EzIqsw7Fws1J7+SCeMwj0vSmSbItMh0nVvj33dAxtKzlLgcsjNCmcGiGRYEH6+fsT1WvyvNNd339O7LB/0gjFw==" saltValue="oyY7vqoee4T13wEbyPRpSg==" spinCount="100000" sqref="F903 I903 F908 I908" name="NARRATION AND WEIGHT_1_16_1_2"/>
    <protectedRange algorithmName="SHA-512" hashValue="EzIqsw7Fws1J7+SCeMwj0vSmSbItMh0nVvj33dAxtKzlLgcsjNCmcGiGRYEH6+fsT1WvyvNNd339O7LB/0gjFw==" saltValue="oyY7vqoee4T13wEbyPRpSg==" spinCount="100000" sqref="E903 E908" name="NARRATION AND WEIGHT_1_16_1_2_1"/>
    <protectedRange algorithmName="SHA-512" hashValue="EzIqsw7Fws1J7+SCeMwj0vSmSbItMh0nVvj33dAxtKzlLgcsjNCmcGiGRYEH6+fsT1WvyvNNd339O7LB/0gjFw==" saltValue="oyY7vqoee4T13wEbyPRpSg==" spinCount="100000" sqref="F917" name="NARRATION AND WEIGHT_1_12_4"/>
    <protectedRange algorithmName="SHA-512" hashValue="EzIqsw7Fws1J7+SCeMwj0vSmSbItMh0nVvj33dAxtKzlLgcsjNCmcGiGRYEH6+fsT1WvyvNNd339O7LB/0gjFw==" saltValue="oyY7vqoee4T13wEbyPRpSg==" spinCount="100000" sqref="F918 I918" name="NARRATION AND WEIGHT_1_16_1_3"/>
    <protectedRange algorithmName="SHA-512" hashValue="EzIqsw7Fws1J7+SCeMwj0vSmSbItMh0nVvj33dAxtKzlLgcsjNCmcGiGRYEH6+fsT1WvyvNNd339O7LB/0gjFw==" saltValue="oyY7vqoee4T13wEbyPRpSg==" spinCount="100000" sqref="E918" name="NARRATION AND WEIGHT_1_16_1_2_2"/>
    <protectedRange algorithmName="SHA-512" hashValue="EzIqsw7Fws1J7+SCeMwj0vSmSbItMh0nVvj33dAxtKzlLgcsjNCmcGiGRYEH6+fsT1WvyvNNd339O7LB/0gjFw==" saltValue="oyY7vqoee4T13wEbyPRpSg==" spinCount="100000" sqref="F912" name="NARRATION AND WEIGHT_1_12_6"/>
    <protectedRange algorithmName="SHA-512" hashValue="EzIqsw7Fws1J7+SCeMwj0vSmSbItMh0nVvj33dAxtKzlLgcsjNCmcGiGRYEH6+fsT1WvyvNNd339O7LB/0gjFw==" saltValue="oyY7vqoee4T13wEbyPRpSg==" spinCount="100000" sqref="F913 I913" name="NARRATION AND WEIGHT_1_16_1_5"/>
    <protectedRange algorithmName="SHA-512" hashValue="EzIqsw7Fws1J7+SCeMwj0vSmSbItMh0nVvj33dAxtKzlLgcsjNCmcGiGRYEH6+fsT1WvyvNNd339O7LB/0gjFw==" saltValue="oyY7vqoee4T13wEbyPRpSg==" spinCount="100000" sqref="E913" name="NARRATION AND WEIGHT_1_16_1_2_4"/>
    <protectedRange algorithmName="SHA-512" hashValue="EzIqsw7Fws1J7+SCeMwj0vSmSbItMh0nVvj33dAxtKzlLgcsjNCmcGiGRYEH6+fsT1WvyvNNd339O7LB/0gjFw==" saltValue="oyY7vqoee4T13wEbyPRpSg==" spinCount="100000" sqref="I989:I990 E990:F990 F991 E988:E989" name="NARRATION AND WEIGHT_1_16_10"/>
  </protectedRanges>
  <conditionalFormatting sqref="A992:A1008">
    <cfRule type="duplicateValues" dxfId="89" priority="17"/>
    <cfRule type="duplicateValues" dxfId="88" priority="18"/>
  </conditionalFormatting>
  <conditionalFormatting sqref="A1009:A1023">
    <cfRule type="duplicateValues" dxfId="87" priority="12"/>
    <cfRule type="duplicateValues" dxfId="86" priority="11"/>
  </conditionalFormatting>
  <conditionalFormatting sqref="A1024:A1035">
    <cfRule type="duplicateValues" dxfId="85" priority="3"/>
    <cfRule type="duplicateValues" dxfId="84" priority="4"/>
  </conditionalFormatting>
  <conditionalFormatting sqref="A1036:A1059">
    <cfRule type="duplicateValues" dxfId="83" priority="7"/>
    <cfRule type="duplicateValues" dxfId="82" priority="8"/>
  </conditionalFormatting>
  <conditionalFormatting sqref="B2:B127">
    <cfRule type="duplicateValues" dxfId="81" priority="88"/>
    <cfRule type="duplicateValues" dxfId="80" priority="87"/>
  </conditionalFormatting>
  <conditionalFormatting sqref="B110:B112">
    <cfRule type="duplicateValues" dxfId="79" priority="86"/>
  </conditionalFormatting>
  <conditionalFormatting sqref="B110:B127">
    <cfRule type="duplicateValues" dxfId="78" priority="85"/>
  </conditionalFormatting>
  <conditionalFormatting sqref="B128:B198">
    <cfRule type="duplicateValues" dxfId="77" priority="82"/>
    <cfRule type="duplicateValues" dxfId="76" priority="81"/>
  </conditionalFormatting>
  <conditionalFormatting sqref="B199:B252">
    <cfRule type="duplicateValues" dxfId="75" priority="78"/>
    <cfRule type="duplicateValues" dxfId="74" priority="79"/>
  </conditionalFormatting>
  <conditionalFormatting sqref="B230:B252">
    <cfRule type="duplicateValues" dxfId="73" priority="75"/>
    <cfRule type="duplicateValues" dxfId="72" priority="74"/>
  </conditionalFormatting>
  <conditionalFormatting sqref="B253:B311">
    <cfRule type="duplicateValues" dxfId="71" priority="73"/>
    <cfRule type="duplicateValues" dxfId="70" priority="72"/>
  </conditionalFormatting>
  <conditionalFormatting sqref="B296:B311">
    <cfRule type="duplicateValues" dxfId="69" priority="68"/>
    <cfRule type="duplicateValues" dxfId="68" priority="69"/>
  </conditionalFormatting>
  <conditionalFormatting sqref="B312:B373">
    <cfRule type="duplicateValues" dxfId="67" priority="66"/>
    <cfRule type="duplicateValues" dxfId="66" priority="65"/>
  </conditionalFormatting>
  <conditionalFormatting sqref="B374:B379 B381:B538">
    <cfRule type="duplicateValues" dxfId="65" priority="89"/>
    <cfRule type="duplicateValues" dxfId="64" priority="90"/>
  </conditionalFormatting>
  <conditionalFormatting sqref="B477:B538">
    <cfRule type="duplicateValues" dxfId="63" priority="62"/>
    <cfRule type="duplicateValues" dxfId="62" priority="61"/>
  </conditionalFormatting>
  <conditionalFormatting sqref="B643:B697 B703:B842">
    <cfRule type="duplicateValues" dxfId="61" priority="20"/>
  </conditionalFormatting>
  <conditionalFormatting sqref="B643:B842">
    <cfRule type="duplicateValues" dxfId="60" priority="19"/>
    <cfRule type="duplicateValues" dxfId="59" priority="22"/>
    <cfRule type="duplicateValues" dxfId="58" priority="21"/>
  </conditionalFormatting>
  <conditionalFormatting sqref="B982:B987">
    <cfRule type="duplicateValues" dxfId="57" priority="51"/>
    <cfRule type="duplicateValues" dxfId="56" priority="54"/>
    <cfRule type="duplicateValues" dxfId="55" priority="53"/>
    <cfRule type="duplicateValues" dxfId="54" priority="52"/>
  </conditionalFormatting>
  <conditionalFormatting sqref="B992:B1008">
    <cfRule type="duplicateValues" dxfId="53" priority="15"/>
    <cfRule type="duplicateValues" dxfId="52" priority="16"/>
  </conditionalFormatting>
  <conditionalFormatting sqref="B1009:B1023">
    <cfRule type="duplicateValues" dxfId="51" priority="13"/>
    <cfRule type="duplicateValues" dxfId="50" priority="14"/>
  </conditionalFormatting>
  <conditionalFormatting sqref="B1024:B1035">
    <cfRule type="duplicateValues" dxfId="49" priority="5"/>
    <cfRule type="duplicateValues" dxfId="48" priority="6"/>
  </conditionalFormatting>
  <conditionalFormatting sqref="B1036:B1047">
    <cfRule type="duplicateValues" dxfId="47" priority="9"/>
    <cfRule type="duplicateValues" dxfId="46" priority="10"/>
  </conditionalFormatting>
  <conditionalFormatting sqref="B1048:B1059">
    <cfRule type="duplicateValues" dxfId="45" priority="2"/>
    <cfRule type="duplicateValues" dxfId="44" priority="1"/>
  </conditionalFormatting>
  <conditionalFormatting sqref="C230:C252">
    <cfRule type="duplicateValues" dxfId="43" priority="77"/>
    <cfRule type="duplicateValues" dxfId="42" priority="76"/>
  </conditionalFormatting>
  <conditionalFormatting sqref="C296:C311">
    <cfRule type="duplicateValues" dxfId="41" priority="71"/>
    <cfRule type="duplicateValues" dxfId="40" priority="70"/>
  </conditionalFormatting>
  <conditionalFormatting sqref="C477:C538">
    <cfRule type="duplicateValues" dxfId="39" priority="63"/>
    <cfRule type="duplicateValues" dxfId="38" priority="64"/>
  </conditionalFormatting>
  <conditionalFormatting sqref="C569:C576">
    <cfRule type="duplicateValues" dxfId="37" priority="26"/>
    <cfRule type="duplicateValues" dxfId="36" priority="25"/>
  </conditionalFormatting>
  <conditionalFormatting sqref="C577:C579">
    <cfRule type="duplicateValues" dxfId="35" priority="33"/>
    <cfRule type="duplicateValues" dxfId="34" priority="34"/>
  </conditionalFormatting>
  <conditionalFormatting sqref="C580:C589">
    <cfRule type="duplicateValues" dxfId="33" priority="36"/>
    <cfRule type="duplicateValues" dxfId="32" priority="35"/>
  </conditionalFormatting>
  <conditionalFormatting sqref="C590:C594">
    <cfRule type="duplicateValues" dxfId="31" priority="38"/>
    <cfRule type="duplicateValues" dxfId="30" priority="37"/>
  </conditionalFormatting>
  <conditionalFormatting sqref="C595:C602">
    <cfRule type="duplicateValues" dxfId="29" priority="44"/>
    <cfRule type="duplicateValues" dxfId="28" priority="43"/>
  </conditionalFormatting>
  <conditionalFormatting sqref="C615:C618">
    <cfRule type="duplicateValues" dxfId="27" priority="42"/>
    <cfRule type="duplicateValues" dxfId="26" priority="41"/>
  </conditionalFormatting>
  <conditionalFormatting sqref="C624:C628">
    <cfRule type="duplicateValues" dxfId="25" priority="46"/>
    <cfRule type="duplicateValues" dxfId="24" priority="45"/>
  </conditionalFormatting>
  <conditionalFormatting sqref="C643:C697 C703:C842">
    <cfRule type="duplicateValues" dxfId="23" priority="24"/>
  </conditionalFormatting>
  <conditionalFormatting sqref="C643:C842">
    <cfRule type="duplicateValues" dxfId="22" priority="23"/>
  </conditionalFormatting>
  <conditionalFormatting sqref="C847:C853">
    <cfRule type="duplicateValues" dxfId="21" priority="31"/>
    <cfRule type="duplicateValues" dxfId="20" priority="32"/>
  </conditionalFormatting>
  <conditionalFormatting sqref="C854:C860">
    <cfRule type="duplicateValues" dxfId="19" priority="30"/>
    <cfRule type="duplicateValues" dxfId="18" priority="29"/>
  </conditionalFormatting>
  <conditionalFormatting sqref="C861:C869">
    <cfRule type="duplicateValues" dxfId="17" priority="59"/>
    <cfRule type="duplicateValues" dxfId="16" priority="60"/>
  </conditionalFormatting>
  <conditionalFormatting sqref="C870:C877">
    <cfRule type="duplicateValues" dxfId="15" priority="27"/>
    <cfRule type="duplicateValues" dxfId="14" priority="28"/>
  </conditionalFormatting>
  <conditionalFormatting sqref="C878:C884">
    <cfRule type="duplicateValues" dxfId="13" priority="39"/>
    <cfRule type="duplicateValues" dxfId="12" priority="40"/>
  </conditionalFormatting>
  <conditionalFormatting sqref="C885:C891">
    <cfRule type="duplicateValues" dxfId="11" priority="48"/>
    <cfRule type="duplicateValues" dxfId="10" priority="47"/>
  </conditionalFormatting>
  <conditionalFormatting sqref="C892:C981">
    <cfRule type="duplicateValues" dxfId="9" priority="58"/>
    <cfRule type="duplicateValues" dxfId="8" priority="57"/>
  </conditionalFormatting>
  <conditionalFormatting sqref="C982:C987">
    <cfRule type="duplicateValues" dxfId="7" priority="56"/>
    <cfRule type="duplicateValues" dxfId="6" priority="55"/>
  </conditionalFormatting>
  <conditionalFormatting sqref="C988:C991">
    <cfRule type="duplicateValues" dxfId="5" priority="50"/>
    <cfRule type="duplicateValues" dxfId="4" priority="49"/>
  </conditionalFormatting>
  <conditionalFormatting sqref="I139:I198 I129:I137">
    <cfRule type="duplicateValues" dxfId="3" priority="83"/>
  </conditionalFormatting>
  <conditionalFormatting sqref="I128:J128">
    <cfRule type="duplicateValues" dxfId="2" priority="84"/>
  </conditionalFormatting>
  <conditionalFormatting sqref="J129:J137 J139:J198">
    <cfRule type="duplicateValues" dxfId="1" priority="80"/>
  </conditionalFormatting>
  <conditionalFormatting sqref="J312:J373">
    <cfRule type="duplicateValues" dxfId="0" priority="6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Mid-Year Review</vt:lpstr>
      <vt:lpstr>OKRs</vt:lpstr>
      <vt:lpstr>Staff list</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Anyebe Anebi [PAT - HR]</dc:creator>
  <cp:lastModifiedBy>Toluwanimi Akinyemi</cp:lastModifiedBy>
  <dcterms:created xsi:type="dcterms:W3CDTF">2025-07-10T12:56:51Z</dcterms:created>
  <dcterms:modified xsi:type="dcterms:W3CDTF">2025-07-17T12:06:02Z</dcterms:modified>
</cp:coreProperties>
</file>